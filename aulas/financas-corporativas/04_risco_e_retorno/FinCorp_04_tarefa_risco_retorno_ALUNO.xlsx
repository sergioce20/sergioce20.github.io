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Precos" sheetId="3" state="visible" r:id="rId3"/>
    <sheet xmlns:r="http://schemas.openxmlformats.org/officeDocument/2006/relationships" name="Empresa" sheetId="4" state="visible" r:id="rId4"/>
    <sheet xmlns:r="http://schemas.openxmlformats.org/officeDocument/2006/relationships" name="Resultado" sheetId="5" state="visible" r:id="rId5"/>
    <sheet xmlns:r="http://schemas.openxmlformats.org/officeDocument/2006/relationships" name="Cartei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0,00"/>
    <numFmt numFmtId="167" formatCode="0,000%"/>
    <numFmt numFmtId="168" formatCode="0,0000%"/>
    <numFmt numFmtId="169" formatCode="0,000000"/>
    <numFmt numFmtId="170" formatCode="0,00%"/>
    <numFmt numFmtId="171" formatCode="0,000"/>
    <numFmt numFmtId="172" formatCode="0,0000000"/>
  </numFmts>
  <fonts count="7">
    <font>
      <name val="Calibri"/>
      <family val="2"/>
      <color theme="1"/>
      <sz val="11"/>
      <scheme val="minor"/>
    </font>
    <font>
      <name val="Arial"/>
      <b val="1"/>
      <color rgb="0006344F"/>
      <sz val="13"/>
    </font>
    <font>
      <name val="Arial"/>
      <color rgb="005E6E7A"/>
      <sz val="9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5386"/>
      </patternFill>
    </fill>
    <fill>
      <patternFill patternType="solid">
        <fgColor rgb="00FFF2CC"/>
      </patternFill>
    </fill>
    <fill>
      <patternFill patternType="solid">
        <fgColor rgb="00EA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3" borderId="0" pivotButton="0" quotePrefix="0" xfId="0"/>
    <xf numFmtId="1" fontId="3" fillId="0" borderId="0" pivotButton="0" quotePrefix="0" xfId="0"/>
    <xf numFmtId="168" fontId="3" fillId="3" borderId="0" pivotButton="0" quotePrefix="0" xfId="0"/>
    <xf numFmtId="169" fontId="3" fillId="3" borderId="0" pivotButton="0" quotePrefix="0" xfId="0"/>
    <xf numFmtId="167" fontId="3" fillId="3" borderId="0" pivotButton="0" quotePrefix="0" xfId="0"/>
    <xf numFmtId="170" fontId="3" fillId="3" borderId="0" pivotButton="0" quotePrefix="0" xfId="0"/>
    <xf numFmtId="166" fontId="3" fillId="3" borderId="0" pivotButton="0" quotePrefix="0" xfId="0"/>
    <xf numFmtId="0" fontId="6" fillId="2" borderId="0" pivotButton="0" quotePrefix="0" xfId="0"/>
    <xf numFmtId="170" fontId="0" fillId="3" borderId="0" pivotButton="0" quotePrefix="0" xfId="0"/>
    <xf numFmtId="167" fontId="3" fillId="0" borderId="0" pivotButton="0" quotePrefix="0" xfId="0"/>
    <xf numFmtId="169" fontId="0" fillId="3" borderId="0" pivotButton="0" quotePrefix="0" xfId="0"/>
    <xf numFmtId="171" fontId="0" fillId="3" borderId="0" pivotButton="0" quotePrefix="0" xfId="0"/>
    <xf numFmtId="9" fontId="5" fillId="0" borderId="0" pivotButton="0" quotePrefix="0" xfId="0"/>
    <xf numFmtId="9" fontId="3" fillId="0" borderId="0" pivotButton="0" quotePrefix="0" xfId="0"/>
    <xf numFmtId="17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Tarefa: risco e retorno da empresa do seu grupo</t>
        </is>
      </c>
    </row>
    <row r="2">
      <c r="A2" s="2" t="inlineStr">
        <is>
          <t>ED0139 Finanças Corporativas · 2026-2 · Prof. Sérgio Cardoso · entrega pelo SIGAA, prazo no ambiente</t>
        </is>
      </c>
    </row>
    <row r="4">
      <c r="A4" s="3" t="inlineStr"/>
    </row>
    <row r="5">
      <c r="A5" s="4" t="inlineStr">
        <is>
          <t>O que fazer</t>
        </is>
      </c>
    </row>
    <row r="6">
      <c r="A6" s="3" t="inlineStr">
        <is>
          <t>1. Na aba Premissas, escreva o ticker da empresa do seu grupo na célula azul. Todo o resto do arquivo se ajusta sozinho.</t>
        </is>
      </c>
    </row>
    <row r="7">
      <c r="A7" s="3" t="inlineStr">
        <is>
          <t>2. Na aba Empresa, complete a coluna de retorno e o bloco de estatísticas.</t>
        </is>
      </c>
    </row>
    <row r="8">
      <c r="A8" s="3" t="inlineStr">
        <is>
          <t>3. Na aba Carteira, monte a carteira da sua empresa com o BOVA11 e complete os três termos da variância.</t>
        </is>
      </c>
    </row>
    <row r="9">
      <c r="A9" s="3" t="inlineStr">
        <is>
          <t>4. Ainda na aba Carteira, monte a coluna E, o retorno da carteira dia a dia, e aplique MÉDIA e DESVPAD.A nela.</t>
        </is>
      </c>
    </row>
    <row r="10">
      <c r="A10" s="3" t="inlineStr">
        <is>
          <t xml:space="preserve">   As duas diferenças no fim da aba têm de dar zero: é o mesmo número por dois caminhos.</t>
        </is>
      </c>
    </row>
    <row r="11">
      <c r="A11" s="3" t="inlineStr">
        <is>
          <t>5. Refaça a mesma conta no notebook em Python. Os dois resultados têm de bater até a segunda casa decimal.</t>
        </is>
      </c>
    </row>
    <row r="12">
      <c r="A12" s="3" t="inlineStr"/>
    </row>
    <row r="13">
      <c r="A13" s="4" t="inlineStr">
        <is>
          <t>Legenda de cores</t>
        </is>
      </c>
    </row>
    <row r="14">
      <c r="A14" s="3" t="inlineStr">
        <is>
          <t>Azul: você digita. Amarelo: você calcula. Preto: já vem pronto, não mexa.</t>
        </is>
      </c>
    </row>
    <row r="15">
      <c r="A15" s="3" t="inlineStr"/>
    </row>
    <row r="16">
      <c r="A16" s="4" t="inlineStr">
        <is>
          <t>Atenção ao grupo da Hapvida</t>
        </is>
      </c>
    </row>
    <row r="17">
      <c r="A17" s="3" t="inlineStr">
        <is>
          <t>A HAPV3 fez grupamento de 15 para 1 em 06/06/2025. O salto de preço naquele dia não é retorno.</t>
        </is>
      </c>
    </row>
    <row r="18">
      <c r="A18" s="3" t="inlineStr">
        <is>
          <t>A aba Premissas tem a data e o fator do evento: preencha os dois e a coluna de preço corrigido resolve.</t>
        </is>
      </c>
    </row>
    <row r="19">
      <c r="A19" s="3" t="inlineStr">
        <is>
          <t>Os demais grupos deixam o fator em 1, porque nenhuma das outras sete teve evento no período.</t>
        </is>
      </c>
    </row>
    <row r="20">
      <c r="A20" s="3" t="inlineStr"/>
    </row>
    <row r="21">
      <c r="A21" s="4" t="inlineStr">
        <is>
          <t>O que será avaliado</t>
        </is>
      </c>
    </row>
    <row r="22">
      <c r="A22" s="3" t="inlineStr">
        <is>
          <t>O número certo vale menos que o caminho visível. Premissas separadas dos cálculos, fórmulas em vez de valores digitados,</t>
        </is>
      </c>
    </row>
    <row r="23">
      <c r="A23" s="3" t="inlineStr">
        <is>
          <t>e a coerência entre a planilha e o notebook. Erro honesto e documentado vale mais que resultado certo sem rastro.</t>
        </is>
      </c>
    </row>
    <row r="24">
      <c r="A24" s="3" t="inlineStr"/>
    </row>
    <row r="25">
      <c r="A25" s="2" t="inlineStr">
        <is>
          <t>Fonte dos dados: pacote congelado da disciplina, fechamentos oficiais da B3, 20/08/2021 a 20/08/2026.</t>
        </is>
      </c>
    </row>
    <row r="26">
      <c r="A26" s="2" t="inlineStr">
        <is>
          <t>Preços sem ajuste por proventos: o retorno medido aqui é ganho de capital.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2" customWidth="1" min="3" max="3"/>
  </cols>
  <sheetData>
    <row r="1">
      <c r="A1" s="1" t="inlineStr">
        <is>
          <t>Premissas da tarefa</t>
        </is>
      </c>
    </row>
    <row r="2">
      <c r="A2" s="2" t="inlineStr">
        <is>
          <t>Só as células em azul são entradas. Todo o resto é fórmula.</t>
        </is>
      </c>
    </row>
    <row r="4">
      <c r="A4" s="4" t="inlineStr">
        <is>
          <t>Data-base do congelamento</t>
        </is>
      </c>
      <c r="B4" s="5" t="n">
        <v>46254</v>
      </c>
      <c r="C4" s="2" t="inlineStr">
        <is>
          <t>Último pregão da série. Nada depois disso entra na conta.</t>
        </is>
      </c>
    </row>
    <row r="5">
      <c r="A5" s="4" t="inlineStr">
        <is>
          <t>Primeiro pregão da série</t>
        </is>
      </c>
      <c r="B5" s="5" t="n">
        <v>44428</v>
      </c>
      <c r="C5" s="2" t="inlineStr">
        <is>
          <t>Cinco anos completos.</t>
        </is>
      </c>
    </row>
    <row r="6">
      <c r="A6" s="4" t="inlineStr">
        <is>
          <t>Pregões na série</t>
        </is>
      </c>
      <c r="B6" s="6" t="n">
        <v>1248</v>
      </c>
      <c r="C6" s="2" t="inlineStr">
        <is>
          <t>Preços. Os retornos são um a menos, porque o primeiro dia não tem anterior.</t>
        </is>
      </c>
    </row>
    <row r="7">
      <c r="A7" s="4" t="inlineStr">
        <is>
          <t>Pregões por ano (anualização)</t>
        </is>
      </c>
      <c r="B7" s="6" t="n">
        <v>252</v>
      </c>
      <c r="C7" s="2" t="inlineStr">
        <is>
          <t>Convenção de mercado. Multiplica a média e é raiz para o desvio.</t>
        </is>
      </c>
    </row>
    <row r="8">
      <c r="A8" s="4" t="inlineStr">
        <is>
          <t>Ticker da sua empresa</t>
        </is>
      </c>
      <c r="B8" s="6" t="inlineStr">
        <is>
          <t>ABEV3</t>
        </is>
      </c>
      <c r="C8" s="2" t="inlineStr">
        <is>
          <t>Um destes: RAIL3, WEGE3, VALE3, ABEV3, BBSE3, B3SA3, LREN3, HAPV3</t>
        </is>
      </c>
    </row>
    <row r="9">
      <c r="A9" s="4" t="inlineStr">
        <is>
          <t>Data ex do evento societário</t>
        </is>
      </c>
      <c r="B9" s="5" t="n">
        <v>1</v>
      </c>
      <c r="C9" s="2" t="inlineStr">
        <is>
          <t>Só o grupo da Hapvida preenche. Os demais deixam como está.</t>
        </is>
      </c>
    </row>
    <row r="10">
      <c r="A10" s="4" t="inlineStr">
        <is>
          <t>Fator do evento</t>
        </is>
      </c>
      <c r="B10" s="6" t="n">
        <v>1</v>
      </c>
      <c r="C10" s="2" t="inlineStr">
        <is>
          <t>Hapvida: 15. Demais: 1.</t>
        </is>
      </c>
    </row>
    <row r="13">
      <c r="A13" s="2" t="inlineStr">
        <is>
          <t>Fonte: B3, arquivos COTAHIST, acesso em 24 e 25/08/2026. Pacote congelado da disciplina.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Fechamentos diários das oito empresas e do BOVA11</t>
        </is>
      </c>
    </row>
    <row r="2">
      <c r="A2" s="2" t="inlineStr">
        <is>
          <t>Dados congelados. Não altere nada nesta aba.</t>
        </is>
      </c>
    </row>
    <row r="3">
      <c r="A3" s="7" t="inlineStr">
        <is>
          <t>Data</t>
        </is>
      </c>
      <c r="B3" s="7" t="inlineStr">
        <is>
          <t>RAIL3</t>
        </is>
      </c>
      <c r="C3" s="7" t="inlineStr">
        <is>
          <t>WEGE3</t>
        </is>
      </c>
      <c r="D3" s="7" t="inlineStr">
        <is>
          <t>VALE3</t>
        </is>
      </c>
      <c r="E3" s="7" t="inlineStr">
        <is>
          <t>ABEV3</t>
        </is>
      </c>
      <c r="F3" s="7" t="inlineStr">
        <is>
          <t>BBSE3</t>
        </is>
      </c>
      <c r="G3" s="7" t="inlineStr">
        <is>
          <t>B3SA3</t>
        </is>
      </c>
      <c r="H3" s="7" t="inlineStr">
        <is>
          <t>LREN3</t>
        </is>
      </c>
      <c r="I3" s="7" t="inlineStr">
        <is>
          <t>HAPV3</t>
        </is>
      </c>
      <c r="J3" s="7" t="inlineStr">
        <is>
          <t>BOVA11</t>
        </is>
      </c>
    </row>
    <row r="4">
      <c r="A4" s="8" t="n">
        <v>44428</v>
      </c>
      <c r="B4" s="3" t="n">
        <v>18.12</v>
      </c>
      <c r="C4" s="3" t="n">
        <v>35.98</v>
      </c>
      <c r="D4" s="3" t="n">
        <v>97.55</v>
      </c>
      <c r="E4" s="3" t="n">
        <v>17.54</v>
      </c>
      <c r="F4" s="3" t="n">
        <v>19.86</v>
      </c>
      <c r="G4" s="3" t="n">
        <v>14.2</v>
      </c>
      <c r="H4" s="3" t="n">
        <v>39.2</v>
      </c>
      <c r="I4" s="3" t="n">
        <v>15.53</v>
      </c>
      <c r="J4" s="3" t="n">
        <v>113.65</v>
      </c>
    </row>
    <row r="5">
      <c r="A5" s="8" t="n">
        <v>44431</v>
      </c>
      <c r="B5" s="3" t="n">
        <v>18.43</v>
      </c>
      <c r="C5" s="3" t="n">
        <v>35.75</v>
      </c>
      <c r="D5" s="3" t="n">
        <v>96.2</v>
      </c>
      <c r="E5" s="3" t="n">
        <v>17.36</v>
      </c>
      <c r="F5" s="3" t="n">
        <v>19.5</v>
      </c>
      <c r="G5" s="3" t="n">
        <v>13.65</v>
      </c>
      <c r="H5" s="3" t="n">
        <v>38.05</v>
      </c>
      <c r="I5" s="3" t="n">
        <v>15.2</v>
      </c>
      <c r="J5" s="3" t="n">
        <v>113.05</v>
      </c>
    </row>
    <row r="6">
      <c r="A6" s="8" t="n">
        <v>44432</v>
      </c>
      <c r="B6" s="3" t="n">
        <v>18.73</v>
      </c>
      <c r="C6" s="3" t="n">
        <v>35.66</v>
      </c>
      <c r="D6" s="3" t="n">
        <v>99.70999999999999</v>
      </c>
      <c r="E6" s="3" t="n">
        <v>17.59</v>
      </c>
      <c r="F6" s="3" t="n">
        <v>19.96</v>
      </c>
      <c r="G6" s="3" t="n">
        <v>13.9</v>
      </c>
      <c r="H6" s="3" t="n">
        <v>38.9</v>
      </c>
      <c r="I6" s="3" t="n">
        <v>15.28</v>
      </c>
      <c r="J6" s="3" t="n">
        <v>115.63</v>
      </c>
    </row>
    <row r="7">
      <c r="A7" s="8" t="n">
        <v>44433</v>
      </c>
      <c r="B7" s="3" t="n">
        <v>18.87</v>
      </c>
      <c r="C7" s="3" t="n">
        <v>36.38</v>
      </c>
      <c r="D7" s="3" t="n">
        <v>99.5</v>
      </c>
      <c r="E7" s="3" t="n">
        <v>17.58</v>
      </c>
      <c r="F7" s="3" t="n">
        <v>20.19</v>
      </c>
      <c r="G7" s="3" t="n">
        <v>13.99</v>
      </c>
      <c r="H7" s="3" t="n">
        <v>39.32</v>
      </c>
      <c r="I7" s="3" t="n">
        <v>15.28</v>
      </c>
      <c r="J7" s="3" t="n">
        <v>116.14</v>
      </c>
    </row>
    <row r="8">
      <c r="A8" s="8" t="n">
        <v>44434</v>
      </c>
      <c r="B8" s="3" t="n">
        <v>18.73</v>
      </c>
      <c r="C8" s="3" t="n">
        <v>36.77</v>
      </c>
      <c r="D8" s="3" t="n">
        <v>98.23</v>
      </c>
      <c r="E8" s="3" t="n">
        <v>17.11</v>
      </c>
      <c r="F8" s="3" t="n">
        <v>19.62</v>
      </c>
      <c r="G8" s="3" t="n">
        <v>13.66</v>
      </c>
      <c r="H8" s="3" t="n">
        <v>37.91</v>
      </c>
      <c r="I8" s="3" t="n">
        <v>14.96</v>
      </c>
      <c r="J8" s="3" t="n">
        <v>114.07</v>
      </c>
    </row>
    <row r="9">
      <c r="A9" s="8" t="n">
        <v>44435</v>
      </c>
      <c r="B9" s="3" t="n">
        <v>19.01</v>
      </c>
      <c r="C9" s="3" t="n">
        <v>36.9</v>
      </c>
      <c r="D9" s="3" t="n">
        <v>100.69</v>
      </c>
      <c r="E9" s="3" t="n">
        <v>17.04</v>
      </c>
      <c r="F9" s="3" t="n">
        <v>19.73</v>
      </c>
      <c r="G9" s="3" t="n">
        <v>13.94</v>
      </c>
      <c r="H9" s="3" t="n">
        <v>38.21</v>
      </c>
      <c r="I9" s="3" t="n">
        <v>14.85</v>
      </c>
      <c r="J9" s="3" t="n">
        <v>116.18</v>
      </c>
    </row>
    <row r="10">
      <c r="A10" s="8" t="n">
        <v>44438</v>
      </c>
      <c r="B10" s="3" t="n">
        <v>18.85</v>
      </c>
      <c r="C10" s="3" t="n">
        <v>36.68</v>
      </c>
      <c r="D10" s="3" t="n">
        <v>100.05</v>
      </c>
      <c r="E10" s="3" t="n">
        <v>17.18</v>
      </c>
      <c r="F10" s="3" t="n">
        <v>19.29</v>
      </c>
      <c r="G10" s="3" t="n">
        <v>13.7</v>
      </c>
      <c r="H10" s="3" t="n">
        <v>37.98</v>
      </c>
      <c r="I10" s="3" t="n">
        <v>14.81</v>
      </c>
      <c r="J10" s="3" t="n">
        <v>115.08</v>
      </c>
    </row>
    <row r="11">
      <c r="A11" s="8" t="n">
        <v>44439</v>
      </c>
      <c r="B11" s="3" t="n">
        <v>18.72</v>
      </c>
      <c r="C11" s="3" t="n">
        <v>35.56</v>
      </c>
      <c r="D11" s="3" t="n">
        <v>98.68000000000001</v>
      </c>
      <c r="E11" s="3" t="n">
        <v>17.1</v>
      </c>
      <c r="F11" s="3" t="n">
        <v>19.06</v>
      </c>
      <c r="G11" s="3" t="n">
        <v>14.07</v>
      </c>
      <c r="H11" s="3" t="n">
        <v>38.06</v>
      </c>
      <c r="I11" s="3" t="n">
        <v>14.72</v>
      </c>
      <c r="J11" s="3" t="n">
        <v>114.08</v>
      </c>
    </row>
    <row r="12">
      <c r="A12" s="8" t="n">
        <v>44440</v>
      </c>
      <c r="B12" s="3" t="n">
        <v>19.35</v>
      </c>
      <c r="C12" s="3" t="n">
        <v>36.29</v>
      </c>
      <c r="D12" s="3" t="n">
        <v>98.84999999999999</v>
      </c>
      <c r="E12" s="3" t="n">
        <v>17.26</v>
      </c>
      <c r="F12" s="3" t="n">
        <v>19.34</v>
      </c>
      <c r="G12" s="3" t="n">
        <v>14.43</v>
      </c>
      <c r="H12" s="3" t="n">
        <v>37.5</v>
      </c>
      <c r="I12" s="3" t="n">
        <v>14.92</v>
      </c>
      <c r="J12" s="3" t="n">
        <v>114.8</v>
      </c>
    </row>
    <row r="13">
      <c r="A13" s="8" t="n">
        <v>44441</v>
      </c>
      <c r="B13" s="3" t="n">
        <v>19.01</v>
      </c>
      <c r="C13" s="3" t="n">
        <v>35.74</v>
      </c>
      <c r="D13" s="3" t="n">
        <v>98.54000000000001</v>
      </c>
      <c r="E13" s="3" t="n">
        <v>16.52</v>
      </c>
      <c r="F13" s="3" t="n">
        <v>18.69</v>
      </c>
      <c r="G13" s="3" t="n">
        <v>14.07</v>
      </c>
      <c r="H13" s="3" t="n">
        <v>36.53</v>
      </c>
      <c r="I13" s="3" t="n">
        <v>14.71</v>
      </c>
      <c r="J13" s="3" t="n">
        <v>112.15</v>
      </c>
    </row>
    <row r="14">
      <c r="A14" s="8" t="n">
        <v>44442</v>
      </c>
      <c r="B14" s="3" t="n">
        <v>18.99</v>
      </c>
      <c r="C14" s="3" t="n">
        <v>36.25</v>
      </c>
      <c r="D14" s="3" t="n">
        <v>98.61</v>
      </c>
      <c r="E14" s="3" t="n">
        <v>16.56</v>
      </c>
      <c r="F14" s="3" t="n">
        <v>19.18</v>
      </c>
      <c r="G14" s="3" t="n">
        <v>14.05</v>
      </c>
      <c r="H14" s="3" t="n">
        <v>37.12</v>
      </c>
      <c r="I14" s="3" t="n">
        <v>14.89</v>
      </c>
      <c r="J14" s="3" t="n">
        <v>112.09</v>
      </c>
    </row>
    <row r="15">
      <c r="A15" s="8" t="n">
        <v>44445</v>
      </c>
      <c r="B15" s="3" t="n">
        <v>18.94</v>
      </c>
      <c r="C15" s="3" t="n">
        <v>36.38</v>
      </c>
      <c r="D15" s="3" t="n">
        <v>97.06</v>
      </c>
      <c r="E15" s="3" t="n">
        <v>17.19</v>
      </c>
      <c r="F15" s="3" t="n">
        <v>19.27</v>
      </c>
      <c r="G15" s="3" t="n">
        <v>14.32</v>
      </c>
      <c r="H15" s="3" t="n">
        <v>37.12</v>
      </c>
      <c r="I15" s="3" t="n">
        <v>15.16</v>
      </c>
      <c r="J15" s="3" t="n">
        <v>113.48</v>
      </c>
    </row>
    <row r="16">
      <c r="A16" s="8" t="n">
        <v>44447</v>
      </c>
      <c r="B16" s="3" t="n">
        <v>18.23</v>
      </c>
      <c r="C16" s="3" t="n">
        <v>36.49</v>
      </c>
      <c r="D16" s="3" t="n">
        <v>95.04000000000001</v>
      </c>
      <c r="E16" s="3" t="n">
        <v>16.21</v>
      </c>
      <c r="F16" s="3" t="n">
        <v>18.4</v>
      </c>
      <c r="G16" s="3" t="n">
        <v>13.12</v>
      </c>
      <c r="H16" s="3" t="n">
        <v>35.18</v>
      </c>
      <c r="I16" s="3" t="n">
        <v>14.57</v>
      </c>
      <c r="J16" s="3" t="n">
        <v>109.08</v>
      </c>
    </row>
    <row r="17">
      <c r="A17" s="8" t="n">
        <v>44448</v>
      </c>
      <c r="B17" s="3" t="n">
        <v>18.56</v>
      </c>
      <c r="C17" s="3" t="n">
        <v>38.84</v>
      </c>
      <c r="D17" s="3" t="n">
        <v>94.7</v>
      </c>
      <c r="E17" s="3" t="n">
        <v>16.31</v>
      </c>
      <c r="F17" s="3" t="n">
        <v>18.82</v>
      </c>
      <c r="G17" s="3" t="n">
        <v>13.63</v>
      </c>
      <c r="H17" s="3" t="n">
        <v>35.81</v>
      </c>
      <c r="I17" s="3" t="n">
        <v>14.86</v>
      </c>
      <c r="J17" s="3" t="n">
        <v>111.51</v>
      </c>
    </row>
    <row r="18">
      <c r="A18" s="8" t="n">
        <v>44449</v>
      </c>
      <c r="B18" s="3" t="n">
        <v>18.12</v>
      </c>
      <c r="C18" s="3" t="n">
        <v>38.66</v>
      </c>
      <c r="D18" s="3" t="n">
        <v>94.81</v>
      </c>
      <c r="E18" s="3" t="n">
        <v>16.1</v>
      </c>
      <c r="F18" s="3" t="n">
        <v>19.06</v>
      </c>
      <c r="G18" s="3" t="n">
        <v>13.81</v>
      </c>
      <c r="H18" s="3" t="n">
        <v>36.17</v>
      </c>
      <c r="I18" s="3" t="n">
        <v>14.66</v>
      </c>
      <c r="J18" s="3" t="n">
        <v>109.88</v>
      </c>
    </row>
    <row r="19">
      <c r="A19" s="8" t="n">
        <v>44452</v>
      </c>
      <c r="B19" s="3" t="n">
        <v>18.45</v>
      </c>
      <c r="C19" s="3" t="n">
        <v>38.9</v>
      </c>
      <c r="D19" s="3" t="n">
        <v>94.76000000000001</v>
      </c>
      <c r="E19" s="3" t="n">
        <v>16.35</v>
      </c>
      <c r="F19" s="3" t="n">
        <v>19.57</v>
      </c>
      <c r="G19" s="3" t="n">
        <v>14.2</v>
      </c>
      <c r="H19" s="3" t="n">
        <v>37.17</v>
      </c>
      <c r="I19" s="3" t="n">
        <v>15.18</v>
      </c>
      <c r="J19" s="3" t="n">
        <v>112.12</v>
      </c>
    </row>
    <row r="20">
      <c r="A20" s="8" t="n">
        <v>44453</v>
      </c>
      <c r="B20" s="3" t="n">
        <v>18.42</v>
      </c>
      <c r="C20" s="3" t="n">
        <v>39.38</v>
      </c>
      <c r="D20" s="3" t="n">
        <v>94.09</v>
      </c>
      <c r="E20" s="3" t="n">
        <v>16.44</v>
      </c>
      <c r="F20" s="3" t="n">
        <v>19.62</v>
      </c>
      <c r="G20" s="3" t="n">
        <v>14.13</v>
      </c>
      <c r="H20" s="3" t="n">
        <v>37.38</v>
      </c>
      <c r="I20" s="3" t="n">
        <v>15.23</v>
      </c>
      <c r="J20" s="3" t="n">
        <v>111.7</v>
      </c>
    </row>
    <row r="21">
      <c r="A21" s="8" t="n">
        <v>44454</v>
      </c>
      <c r="B21" s="3" t="n">
        <v>18.21</v>
      </c>
      <c r="C21" s="3" t="n">
        <v>39.84</v>
      </c>
      <c r="D21" s="3" t="n">
        <v>91.73999999999999</v>
      </c>
      <c r="E21" s="3" t="n">
        <v>16.02</v>
      </c>
      <c r="F21" s="3" t="n">
        <v>19.22</v>
      </c>
      <c r="G21" s="3" t="n">
        <v>14.05</v>
      </c>
      <c r="H21" s="3" t="n">
        <v>36.79</v>
      </c>
      <c r="I21" s="3" t="n">
        <v>15.38</v>
      </c>
      <c r="J21" s="3" t="n">
        <v>110.68</v>
      </c>
    </row>
    <row r="22">
      <c r="A22" s="8" t="n">
        <v>44455</v>
      </c>
      <c r="B22" s="3" t="n">
        <v>17.67</v>
      </c>
      <c r="C22" s="3" t="n">
        <v>39.9</v>
      </c>
      <c r="D22" s="3" t="n">
        <v>87.93000000000001</v>
      </c>
      <c r="E22" s="3" t="n">
        <v>16.13</v>
      </c>
      <c r="F22" s="3" t="n">
        <v>19.4</v>
      </c>
      <c r="G22" s="3" t="n">
        <v>14.12</v>
      </c>
      <c r="H22" s="3" t="n">
        <v>37.25</v>
      </c>
      <c r="I22" s="3" t="n">
        <v>15.28</v>
      </c>
      <c r="J22" s="3" t="n">
        <v>109.44</v>
      </c>
    </row>
    <row r="23">
      <c r="A23" s="8" t="n">
        <v>44456</v>
      </c>
      <c r="B23" s="3" t="n">
        <v>17.53</v>
      </c>
      <c r="C23" s="3" t="n">
        <v>39.19</v>
      </c>
      <c r="D23" s="3" t="n">
        <v>86.15000000000001</v>
      </c>
      <c r="E23" s="3" t="n">
        <v>15.74</v>
      </c>
      <c r="F23" s="3" t="n">
        <v>19.33</v>
      </c>
      <c r="G23" s="3" t="n">
        <v>14.18</v>
      </c>
      <c r="H23" s="3" t="n">
        <v>36.55</v>
      </c>
      <c r="I23" s="3" t="n">
        <v>15.25</v>
      </c>
      <c r="J23" s="3" t="n">
        <v>107.14</v>
      </c>
    </row>
    <row r="24">
      <c r="A24" s="8" t="n">
        <v>44459</v>
      </c>
      <c r="B24" s="3" t="n">
        <v>17.31</v>
      </c>
      <c r="C24" s="3" t="n">
        <v>38.89</v>
      </c>
      <c r="D24" s="3" t="n">
        <v>83.31</v>
      </c>
      <c r="E24" s="3" t="n">
        <v>15.61</v>
      </c>
      <c r="F24" s="3" t="n">
        <v>18.91</v>
      </c>
      <c r="G24" s="3" t="n">
        <v>13.68</v>
      </c>
      <c r="H24" s="3" t="n">
        <v>35.71</v>
      </c>
      <c r="I24" s="3" t="n">
        <v>14.88</v>
      </c>
      <c r="J24" s="3" t="n">
        <v>104.77</v>
      </c>
    </row>
    <row r="25">
      <c r="A25" s="8" t="n">
        <v>44460</v>
      </c>
      <c r="B25" s="3" t="n">
        <v>17.65</v>
      </c>
      <c r="C25" s="3" t="n">
        <v>39.75</v>
      </c>
      <c r="D25" s="3" t="n">
        <v>84.12</v>
      </c>
      <c r="E25" s="3" t="n">
        <v>15.66</v>
      </c>
      <c r="F25" s="3" t="n">
        <v>19.22</v>
      </c>
      <c r="G25" s="3" t="n">
        <v>13.55</v>
      </c>
      <c r="H25" s="3" t="n">
        <v>36.55</v>
      </c>
      <c r="I25" s="3" t="n">
        <v>15.18</v>
      </c>
      <c r="J25" s="3" t="n">
        <v>105.77</v>
      </c>
    </row>
    <row r="26">
      <c r="A26" s="8" t="n">
        <v>44461</v>
      </c>
      <c r="B26" s="3" t="n">
        <v>17.72</v>
      </c>
      <c r="C26" s="3" t="n">
        <v>40.57</v>
      </c>
      <c r="D26" s="3" t="n">
        <v>87.11</v>
      </c>
      <c r="E26" s="3" t="n">
        <v>15.72</v>
      </c>
      <c r="F26" s="3" t="n">
        <v>19.38</v>
      </c>
      <c r="G26" s="3" t="n">
        <v>14.25</v>
      </c>
      <c r="H26" s="3" t="n">
        <v>36.61</v>
      </c>
      <c r="I26" s="3" t="n">
        <v>14.59</v>
      </c>
      <c r="J26" s="3" t="n">
        <v>107.99</v>
      </c>
    </row>
    <row r="27">
      <c r="A27" s="8" t="n">
        <v>44462</v>
      </c>
      <c r="B27" s="3" t="n">
        <v>17.88</v>
      </c>
      <c r="C27" s="3" t="n">
        <v>41.17</v>
      </c>
      <c r="D27" s="3" t="n">
        <v>78.91</v>
      </c>
      <c r="E27" s="3" t="n">
        <v>15.88</v>
      </c>
      <c r="F27" s="3" t="n">
        <v>19.51</v>
      </c>
      <c r="G27" s="3" t="n">
        <v>13.91</v>
      </c>
      <c r="H27" s="3" t="n">
        <v>37.2</v>
      </c>
      <c r="I27" s="3" t="n">
        <v>14.89</v>
      </c>
      <c r="J27" s="3" t="n">
        <v>109.6</v>
      </c>
    </row>
    <row r="28">
      <c r="A28" s="8" t="n">
        <v>44463</v>
      </c>
      <c r="B28" s="3" t="n">
        <v>17.7</v>
      </c>
      <c r="C28" s="3" t="n">
        <v>41.34</v>
      </c>
      <c r="D28" s="3" t="n">
        <v>77.69</v>
      </c>
      <c r="E28" s="3" t="n">
        <v>15.84</v>
      </c>
      <c r="F28" s="3" t="n">
        <v>19.96</v>
      </c>
      <c r="G28" s="3" t="n">
        <v>13.88</v>
      </c>
      <c r="H28" s="3" t="n">
        <v>36.98</v>
      </c>
      <c r="I28" s="3" t="n">
        <v>14.74</v>
      </c>
      <c r="J28" s="3" t="n">
        <v>109.03</v>
      </c>
    </row>
    <row r="29">
      <c r="A29" s="8" t="n">
        <v>44466</v>
      </c>
      <c r="B29" s="3" t="n">
        <v>17.74</v>
      </c>
      <c r="C29" s="3" t="n">
        <v>40.86</v>
      </c>
      <c r="D29" s="3" t="n">
        <v>78.8</v>
      </c>
      <c r="E29" s="3" t="n">
        <v>15.83</v>
      </c>
      <c r="F29" s="3" t="n">
        <v>20.25</v>
      </c>
      <c r="G29" s="3" t="n">
        <v>13.68</v>
      </c>
      <c r="H29" s="3" t="n">
        <v>35.85</v>
      </c>
      <c r="I29" s="3" t="n">
        <v>14.47</v>
      </c>
      <c r="J29" s="3" t="n">
        <v>108.89</v>
      </c>
    </row>
    <row r="30">
      <c r="A30" s="8" t="n">
        <v>44467</v>
      </c>
      <c r="B30" s="3" t="n">
        <v>17.16</v>
      </c>
      <c r="C30" s="3" t="n">
        <v>40.67</v>
      </c>
      <c r="D30" s="3" t="n">
        <v>74.84999999999999</v>
      </c>
      <c r="E30" s="3" t="n">
        <v>15.44</v>
      </c>
      <c r="F30" s="3" t="n">
        <v>20.22</v>
      </c>
      <c r="G30" s="3" t="n">
        <v>12.94</v>
      </c>
      <c r="H30" s="3" t="n">
        <v>34.24</v>
      </c>
      <c r="I30" s="3" t="n">
        <v>13.63</v>
      </c>
      <c r="J30" s="3" t="n">
        <v>105.83</v>
      </c>
    </row>
    <row r="31">
      <c r="A31" s="8" t="n">
        <v>44468</v>
      </c>
      <c r="B31" s="3" t="n">
        <v>16.98</v>
      </c>
      <c r="C31" s="3" t="n">
        <v>39.87</v>
      </c>
      <c r="D31" s="3" t="n">
        <v>75.8</v>
      </c>
      <c r="E31" s="3" t="n">
        <v>15.49</v>
      </c>
      <c r="F31" s="3" t="n">
        <v>20.33</v>
      </c>
      <c r="G31" s="3" t="n">
        <v>12.75</v>
      </c>
      <c r="H31" s="3" t="n">
        <v>34.48</v>
      </c>
      <c r="I31" s="3" t="n">
        <v>13.6</v>
      </c>
      <c r="J31" s="3" t="n">
        <v>106.83</v>
      </c>
    </row>
    <row r="32">
      <c r="A32" s="8" t="n">
        <v>44469</v>
      </c>
      <c r="B32" s="3" t="n">
        <v>16.79</v>
      </c>
      <c r="C32" s="3" t="n">
        <v>39.63</v>
      </c>
      <c r="D32" s="3" t="n">
        <v>76.23999999999999</v>
      </c>
      <c r="E32" s="3" t="n">
        <v>15.3</v>
      </c>
      <c r="F32" s="3" t="n">
        <v>19.95</v>
      </c>
      <c r="G32" s="3" t="n">
        <v>12.74</v>
      </c>
      <c r="H32" s="3" t="n">
        <v>34.42</v>
      </c>
      <c r="I32" s="3" t="n">
        <v>13.59</v>
      </c>
      <c r="J32" s="3" t="n">
        <v>106.49</v>
      </c>
    </row>
    <row r="33">
      <c r="A33" s="8" t="n">
        <v>44470</v>
      </c>
      <c r="B33" s="3" t="n">
        <v>17.31</v>
      </c>
      <c r="C33" s="3" t="n">
        <v>40.17</v>
      </c>
      <c r="D33" s="3" t="n">
        <v>76.2</v>
      </c>
      <c r="E33" s="3" t="n">
        <v>15.27</v>
      </c>
      <c r="F33" s="3" t="n">
        <v>20.39</v>
      </c>
      <c r="G33" s="3" t="n">
        <v>13.23</v>
      </c>
      <c r="H33" s="3" t="n">
        <v>36.22</v>
      </c>
      <c r="I33" s="3" t="n">
        <v>13.44</v>
      </c>
      <c r="J33" s="3" t="n">
        <v>108.49</v>
      </c>
    </row>
    <row r="34">
      <c r="A34" s="8" t="n">
        <v>44473</v>
      </c>
      <c r="B34" s="3" t="n">
        <v>17</v>
      </c>
      <c r="C34" s="3" t="n">
        <v>38.78</v>
      </c>
      <c r="D34" s="3" t="n">
        <v>75.48999999999999</v>
      </c>
      <c r="E34" s="3" t="n">
        <v>15.04</v>
      </c>
      <c r="F34" s="3" t="n">
        <v>19.84</v>
      </c>
      <c r="G34" s="3" t="n">
        <v>12.4</v>
      </c>
      <c r="H34" s="3" t="n">
        <v>34.32</v>
      </c>
      <c r="I34" s="3" t="n">
        <v>12.82</v>
      </c>
      <c r="J34" s="3" t="n">
        <v>106.18</v>
      </c>
    </row>
    <row r="35">
      <c r="A35" s="8" t="n">
        <v>44474</v>
      </c>
      <c r="B35" s="3" t="n">
        <v>17</v>
      </c>
      <c r="C35" s="3" t="n">
        <v>37.53</v>
      </c>
      <c r="D35" s="3" t="n">
        <v>74.95</v>
      </c>
      <c r="E35" s="3" t="n">
        <v>15.18</v>
      </c>
      <c r="F35" s="3" t="n">
        <v>19.98</v>
      </c>
      <c r="G35" s="3" t="n">
        <v>12.15</v>
      </c>
      <c r="H35" s="3" t="n">
        <v>34.23</v>
      </c>
      <c r="I35" s="3" t="n">
        <v>12.83</v>
      </c>
      <c r="J35" s="3" t="n">
        <v>106.12</v>
      </c>
    </row>
    <row r="36">
      <c r="A36" s="8" t="n">
        <v>44475</v>
      </c>
      <c r="B36" s="3" t="n">
        <v>18.23</v>
      </c>
      <c r="C36" s="3" t="n">
        <v>37.51</v>
      </c>
      <c r="D36" s="3" t="n">
        <v>77.06</v>
      </c>
      <c r="E36" s="3" t="n">
        <v>15.1</v>
      </c>
      <c r="F36" s="3" t="n">
        <v>19.76</v>
      </c>
      <c r="G36" s="3" t="n">
        <v>12.22</v>
      </c>
      <c r="H36" s="3" t="n">
        <v>33.8</v>
      </c>
      <c r="I36" s="3" t="n">
        <v>12.59</v>
      </c>
      <c r="J36" s="3" t="n">
        <v>106.37</v>
      </c>
    </row>
    <row r="37">
      <c r="A37" s="8" t="n">
        <v>44476</v>
      </c>
      <c r="B37" s="3" t="n">
        <v>17.64</v>
      </c>
      <c r="C37" s="3" t="n">
        <v>37.56</v>
      </c>
      <c r="D37" s="3" t="n">
        <v>79.36</v>
      </c>
      <c r="E37" s="3" t="n">
        <v>15.08</v>
      </c>
      <c r="F37" s="3" t="n">
        <v>19.74</v>
      </c>
      <c r="G37" s="3" t="n">
        <v>12.26</v>
      </c>
      <c r="H37" s="3" t="n">
        <v>33.77</v>
      </c>
      <c r="I37" s="3" t="n">
        <v>12.5</v>
      </c>
      <c r="J37" s="3" t="n">
        <v>106.42</v>
      </c>
    </row>
    <row r="38">
      <c r="A38" s="8" t="n">
        <v>44477</v>
      </c>
      <c r="B38" s="3" t="n">
        <v>18.24</v>
      </c>
      <c r="C38" s="3" t="n">
        <v>38.65</v>
      </c>
      <c r="D38" s="3" t="n">
        <v>79.84999999999999</v>
      </c>
      <c r="E38" s="3" t="n">
        <v>15.36</v>
      </c>
      <c r="F38" s="3" t="n">
        <v>20.06</v>
      </c>
      <c r="G38" s="3" t="n">
        <v>12.49</v>
      </c>
      <c r="H38" s="3" t="n">
        <v>34.7</v>
      </c>
      <c r="I38" s="3" t="n">
        <v>12.87</v>
      </c>
      <c r="J38" s="3" t="n">
        <v>108.39</v>
      </c>
    </row>
    <row r="39">
      <c r="A39" s="8" t="n">
        <v>44480</v>
      </c>
      <c r="B39" s="3" t="n">
        <v>18.17</v>
      </c>
      <c r="C39" s="3" t="n">
        <v>38.62</v>
      </c>
      <c r="D39" s="3" t="n">
        <v>81.62</v>
      </c>
      <c r="E39" s="3" t="n">
        <v>15.24</v>
      </c>
      <c r="F39" s="3" t="n">
        <v>20.42</v>
      </c>
      <c r="G39" s="3" t="n">
        <v>12.13</v>
      </c>
      <c r="H39" s="3" t="n">
        <v>33.9</v>
      </c>
      <c r="I39" s="3" t="n">
        <v>12.89</v>
      </c>
      <c r="J39" s="3" t="n">
        <v>107.75</v>
      </c>
    </row>
    <row r="40">
      <c r="A40" s="8" t="n">
        <v>44482</v>
      </c>
      <c r="B40" s="3" t="n">
        <v>18.44</v>
      </c>
      <c r="C40" s="3" t="n">
        <v>40.58</v>
      </c>
      <c r="D40" s="3" t="n">
        <v>79.2</v>
      </c>
      <c r="E40" s="3" t="n">
        <v>15.51</v>
      </c>
      <c r="F40" s="3" t="n">
        <v>20.96</v>
      </c>
      <c r="G40" s="3" t="n">
        <v>12.85</v>
      </c>
      <c r="H40" s="3" t="n">
        <v>34.78</v>
      </c>
      <c r="I40" s="3" t="n">
        <v>12.91</v>
      </c>
      <c r="J40" s="3" t="n">
        <v>109.24</v>
      </c>
    </row>
    <row r="41">
      <c r="A41" s="8" t="n">
        <v>44483</v>
      </c>
      <c r="B41" s="3" t="n">
        <v>18.64</v>
      </c>
      <c r="C41" s="3" t="n">
        <v>40.6</v>
      </c>
      <c r="D41" s="3" t="n">
        <v>79.2</v>
      </c>
      <c r="E41" s="3" t="n">
        <v>15.49</v>
      </c>
      <c r="F41" s="3" t="n">
        <v>21.31</v>
      </c>
      <c r="G41" s="3" t="n">
        <v>12.73</v>
      </c>
      <c r="H41" s="3" t="n">
        <v>34.6</v>
      </c>
      <c r="I41" s="3" t="n">
        <v>12.73</v>
      </c>
      <c r="J41" s="3" t="n">
        <v>108.97</v>
      </c>
    </row>
    <row r="42">
      <c r="A42" s="8" t="n">
        <v>44484</v>
      </c>
      <c r="B42" s="3" t="n">
        <v>18.35</v>
      </c>
      <c r="C42" s="3" t="n">
        <v>40.12</v>
      </c>
      <c r="D42" s="3" t="n">
        <v>80.68000000000001</v>
      </c>
      <c r="E42" s="3" t="n">
        <v>15.53</v>
      </c>
      <c r="F42" s="3" t="n">
        <v>21.68</v>
      </c>
      <c r="G42" s="3" t="n">
        <v>13.15</v>
      </c>
      <c r="H42" s="3" t="n">
        <v>35.75</v>
      </c>
      <c r="I42" s="3" t="n">
        <v>13.01</v>
      </c>
      <c r="J42" s="3" t="n">
        <v>110.22</v>
      </c>
    </row>
    <row r="43">
      <c r="A43" s="8" t="n">
        <v>44487</v>
      </c>
      <c r="B43" s="3" t="n">
        <v>18.21</v>
      </c>
      <c r="C43" s="3" t="n">
        <v>40.36</v>
      </c>
      <c r="D43" s="3" t="n">
        <v>79.92</v>
      </c>
      <c r="E43" s="3" t="n">
        <v>15.62</v>
      </c>
      <c r="F43" s="3" t="n">
        <v>21.68</v>
      </c>
      <c r="G43" s="3" t="n">
        <v>12.92</v>
      </c>
      <c r="H43" s="3" t="n">
        <v>35.99</v>
      </c>
      <c r="I43" s="3" t="n">
        <v>12.6</v>
      </c>
      <c r="J43" s="3" t="n">
        <v>109.95</v>
      </c>
    </row>
    <row r="44">
      <c r="A44" s="8" t="n">
        <v>44488</v>
      </c>
      <c r="B44" s="3" t="n">
        <v>17.58</v>
      </c>
      <c r="C44" s="3" t="n">
        <v>39.35</v>
      </c>
      <c r="D44" s="3" t="n">
        <v>79</v>
      </c>
      <c r="E44" s="3" t="n">
        <v>15.14</v>
      </c>
      <c r="F44" s="3" t="n">
        <v>21.26</v>
      </c>
      <c r="G44" s="3" t="n">
        <v>12.52</v>
      </c>
      <c r="H44" s="3" t="n">
        <v>34.43</v>
      </c>
      <c r="I44" s="3" t="n">
        <v>12.08</v>
      </c>
      <c r="J44" s="3" t="n">
        <v>106.8</v>
      </c>
    </row>
    <row r="45">
      <c r="A45" s="8" t="n">
        <v>44489</v>
      </c>
      <c r="B45" s="3" t="n">
        <v>17.09</v>
      </c>
      <c r="C45" s="3" t="n">
        <v>40.11</v>
      </c>
      <c r="D45" s="3" t="n">
        <v>76.41</v>
      </c>
      <c r="E45" s="3" t="n">
        <v>15.35</v>
      </c>
      <c r="F45" s="3" t="n">
        <v>21.33</v>
      </c>
      <c r="G45" s="3" t="n">
        <v>13.11</v>
      </c>
      <c r="H45" s="3" t="n">
        <v>34.94</v>
      </c>
      <c r="I45" s="3" t="n">
        <v>11.71</v>
      </c>
      <c r="J45" s="3" t="n">
        <v>106.4</v>
      </c>
    </row>
    <row r="46">
      <c r="A46" s="8" t="n">
        <v>44490</v>
      </c>
      <c r="B46" s="3" t="n">
        <v>16.39</v>
      </c>
      <c r="C46" s="3" t="n">
        <v>39.35</v>
      </c>
      <c r="D46" s="3" t="n">
        <v>75.16</v>
      </c>
      <c r="E46" s="3" t="n">
        <v>15.14</v>
      </c>
      <c r="F46" s="3" t="n">
        <v>21.5</v>
      </c>
      <c r="G46" s="3" t="n">
        <v>13.01</v>
      </c>
      <c r="H46" s="3" t="n">
        <v>33.39</v>
      </c>
      <c r="I46" s="3" t="n">
        <v>11.61</v>
      </c>
      <c r="J46" s="3" t="n">
        <v>103.65</v>
      </c>
    </row>
    <row r="47">
      <c r="A47" s="8" t="n">
        <v>44491</v>
      </c>
      <c r="B47" s="3" t="n">
        <v>16.58</v>
      </c>
      <c r="C47" s="3" t="n">
        <v>38.89</v>
      </c>
      <c r="D47" s="3" t="n">
        <v>76.08</v>
      </c>
      <c r="E47" s="3" t="n">
        <v>15</v>
      </c>
      <c r="F47" s="3" t="n">
        <v>21.67</v>
      </c>
      <c r="G47" s="3" t="n">
        <v>12.62</v>
      </c>
      <c r="H47" s="3" t="n">
        <v>32.05</v>
      </c>
      <c r="I47" s="3" t="n">
        <v>11.61</v>
      </c>
      <c r="J47" s="3" t="n">
        <v>102.33</v>
      </c>
    </row>
    <row r="48">
      <c r="A48" s="8" t="n">
        <v>44494</v>
      </c>
      <c r="B48" s="3" t="n">
        <v>16.74</v>
      </c>
      <c r="C48" s="3" t="n">
        <v>39.55</v>
      </c>
      <c r="D48" s="3" t="n">
        <v>77</v>
      </c>
      <c r="E48" s="3" t="n">
        <v>15.27</v>
      </c>
      <c r="F48" s="3" t="n">
        <v>22.44</v>
      </c>
      <c r="G48" s="3" t="n">
        <v>12.89</v>
      </c>
      <c r="H48" s="3" t="n">
        <v>32.85</v>
      </c>
      <c r="I48" s="3" t="n">
        <v>11.85</v>
      </c>
      <c r="J48" s="3" t="n">
        <v>104.55</v>
      </c>
    </row>
    <row r="49">
      <c r="A49" s="8" t="n">
        <v>44495</v>
      </c>
      <c r="B49" s="3" t="n">
        <v>16.29</v>
      </c>
      <c r="C49" s="3" t="n">
        <v>39.66</v>
      </c>
      <c r="D49" s="3" t="n">
        <v>76.18000000000001</v>
      </c>
      <c r="E49" s="3" t="n">
        <v>15.16</v>
      </c>
      <c r="F49" s="3" t="n">
        <v>22.17</v>
      </c>
      <c r="G49" s="3" t="n">
        <v>12.15</v>
      </c>
      <c r="H49" s="3" t="n">
        <v>31.49</v>
      </c>
      <c r="I49" s="3" t="n">
        <v>11.53</v>
      </c>
      <c r="J49" s="3" t="n">
        <v>102.25</v>
      </c>
    </row>
    <row r="50">
      <c r="A50" s="8" t="n">
        <v>44496</v>
      </c>
      <c r="B50" s="3" t="n">
        <v>16.2</v>
      </c>
      <c r="C50" s="3" t="n">
        <v>39.2</v>
      </c>
      <c r="D50" s="3" t="n">
        <v>74.45</v>
      </c>
      <c r="E50" s="3" t="n">
        <v>15.22</v>
      </c>
      <c r="F50" s="3" t="n">
        <v>22.5</v>
      </c>
      <c r="G50" s="3" t="n">
        <v>12.12</v>
      </c>
      <c r="H50" s="3" t="n">
        <v>32.37</v>
      </c>
      <c r="I50" s="3" t="n">
        <v>11.87</v>
      </c>
      <c r="J50" s="3" t="n">
        <v>102.4</v>
      </c>
    </row>
    <row r="51">
      <c r="A51" s="8" t="n">
        <v>44497</v>
      </c>
      <c r="B51" s="3" t="n">
        <v>16.1</v>
      </c>
      <c r="C51" s="3" t="n">
        <v>37.83</v>
      </c>
      <c r="D51" s="3" t="n">
        <v>73.7</v>
      </c>
      <c r="E51" s="3" t="n">
        <v>16.7</v>
      </c>
      <c r="F51" s="3" t="n">
        <v>22.17</v>
      </c>
      <c r="G51" s="3" t="n">
        <v>12.04</v>
      </c>
      <c r="H51" s="3" t="n">
        <v>32.35</v>
      </c>
      <c r="I51" s="3" t="n">
        <v>11.73</v>
      </c>
      <c r="J51" s="3" t="n">
        <v>100.61</v>
      </c>
    </row>
    <row r="52">
      <c r="A52" s="8" t="n">
        <v>44498</v>
      </c>
      <c r="B52" s="3" t="n">
        <v>15.99</v>
      </c>
      <c r="C52" s="3" t="n">
        <v>37</v>
      </c>
      <c r="D52" s="3" t="n">
        <v>71.61</v>
      </c>
      <c r="E52" s="3" t="n">
        <v>16.99</v>
      </c>
      <c r="F52" s="3" t="n">
        <v>22.09</v>
      </c>
      <c r="G52" s="3" t="n">
        <v>11.91</v>
      </c>
      <c r="H52" s="3" t="n">
        <v>32.23</v>
      </c>
      <c r="I52" s="3" t="n">
        <v>11.54</v>
      </c>
      <c r="J52" s="3" t="n">
        <v>99.68000000000001</v>
      </c>
    </row>
    <row r="53">
      <c r="A53" s="8" t="n">
        <v>44501</v>
      </c>
      <c r="B53" s="3" t="n">
        <v>16.56</v>
      </c>
      <c r="C53" s="3" t="n">
        <v>36.96</v>
      </c>
      <c r="D53" s="3" t="n">
        <v>72.31999999999999</v>
      </c>
      <c r="E53" s="3" t="n">
        <v>17.36</v>
      </c>
      <c r="F53" s="3" t="n">
        <v>22.05</v>
      </c>
      <c r="G53" s="3" t="n">
        <v>11.98</v>
      </c>
      <c r="H53" s="3" t="n">
        <v>33.2</v>
      </c>
      <c r="I53" s="3" t="n">
        <v>11.77</v>
      </c>
      <c r="J53" s="3" t="n">
        <v>101.52</v>
      </c>
    </row>
    <row r="54">
      <c r="A54" s="8" t="n">
        <v>44503</v>
      </c>
      <c r="B54" s="3" t="n">
        <v>17.32</v>
      </c>
      <c r="C54" s="3" t="n">
        <v>37.68</v>
      </c>
      <c r="D54" s="3" t="n">
        <v>66.83</v>
      </c>
      <c r="E54" s="3" t="n">
        <v>17.83</v>
      </c>
      <c r="F54" s="3" t="n">
        <v>22.61</v>
      </c>
      <c r="G54" s="3" t="n">
        <v>12</v>
      </c>
      <c r="H54" s="3" t="n">
        <v>34.86</v>
      </c>
      <c r="I54" s="3" t="n">
        <v>12.38</v>
      </c>
      <c r="J54" s="3" t="n">
        <v>102</v>
      </c>
    </row>
    <row r="55">
      <c r="A55" s="8" t="n">
        <v>44504</v>
      </c>
      <c r="B55" s="3" t="n">
        <v>17.23</v>
      </c>
      <c r="C55" s="3" t="n">
        <v>37.72</v>
      </c>
      <c r="D55" s="3" t="n">
        <v>66.06999999999999</v>
      </c>
      <c r="E55" s="3" t="n">
        <v>17.88</v>
      </c>
      <c r="F55" s="3" t="n">
        <v>22.64</v>
      </c>
      <c r="G55" s="3" t="n">
        <v>11.94</v>
      </c>
      <c r="H55" s="3" t="n">
        <v>34.1</v>
      </c>
      <c r="I55" s="3" t="n">
        <v>12.26</v>
      </c>
      <c r="J55" s="3" t="n">
        <v>99.65000000000001</v>
      </c>
    </row>
    <row r="56">
      <c r="A56" s="8" t="n">
        <v>44505</v>
      </c>
      <c r="B56" s="3" t="n">
        <v>16.99</v>
      </c>
      <c r="C56" s="3" t="n">
        <v>37.68</v>
      </c>
      <c r="D56" s="3" t="n">
        <v>64.11</v>
      </c>
      <c r="E56" s="3" t="n">
        <v>17.9</v>
      </c>
      <c r="F56" s="3" t="n">
        <v>22.84</v>
      </c>
      <c r="G56" s="3" t="n">
        <v>12.37</v>
      </c>
      <c r="H56" s="3" t="n">
        <v>31.6</v>
      </c>
      <c r="I56" s="3" t="n">
        <v>12.75</v>
      </c>
      <c r="J56" s="3" t="n">
        <v>100.81</v>
      </c>
    </row>
    <row r="57">
      <c r="A57" s="8" t="n">
        <v>44508</v>
      </c>
      <c r="B57" s="3" t="n">
        <v>16.76</v>
      </c>
      <c r="C57" s="3" t="n">
        <v>37.1</v>
      </c>
      <c r="D57" s="3" t="n">
        <v>67.59999999999999</v>
      </c>
      <c r="E57" s="3" t="n">
        <v>17.74</v>
      </c>
      <c r="F57" s="3" t="n">
        <v>22.82</v>
      </c>
      <c r="G57" s="3" t="n">
        <v>12.24</v>
      </c>
      <c r="H57" s="3" t="n">
        <v>31</v>
      </c>
      <c r="I57" s="3" t="n">
        <v>12.76</v>
      </c>
      <c r="J57" s="3" t="n">
        <v>100.83</v>
      </c>
    </row>
    <row r="58">
      <c r="A58" s="8" t="n">
        <v>44509</v>
      </c>
      <c r="B58" s="3" t="n">
        <v>16.93</v>
      </c>
      <c r="C58" s="3" t="n">
        <v>36.79</v>
      </c>
      <c r="D58" s="3" t="n">
        <v>65.94</v>
      </c>
      <c r="E58" s="3" t="n">
        <v>17.89</v>
      </c>
      <c r="F58" s="3" t="n">
        <v>23.44</v>
      </c>
      <c r="G58" s="3" t="n">
        <v>12.64</v>
      </c>
      <c r="H58" s="3" t="n">
        <v>32.32</v>
      </c>
      <c r="I58" s="3" t="n">
        <v>13.28</v>
      </c>
      <c r="J58" s="3" t="n">
        <v>101.39</v>
      </c>
    </row>
    <row r="59">
      <c r="A59" s="8" t="n">
        <v>44510</v>
      </c>
      <c r="B59" s="3" t="n">
        <v>16.84</v>
      </c>
      <c r="C59" s="3" t="n">
        <v>36.28</v>
      </c>
      <c r="D59" s="3" t="n">
        <v>65.69</v>
      </c>
      <c r="E59" s="3" t="n">
        <v>17.75</v>
      </c>
      <c r="F59" s="3" t="n">
        <v>23.12</v>
      </c>
      <c r="G59" s="3" t="n">
        <v>12.67</v>
      </c>
      <c r="H59" s="3" t="n">
        <v>32.76</v>
      </c>
      <c r="I59" s="3" t="n">
        <v>13.3</v>
      </c>
      <c r="J59" s="3" t="n">
        <v>102.02</v>
      </c>
    </row>
    <row r="60">
      <c r="A60" s="8" t="n">
        <v>44511</v>
      </c>
      <c r="B60" s="3" t="n">
        <v>17.18</v>
      </c>
      <c r="C60" s="3" t="n">
        <v>36.5</v>
      </c>
      <c r="D60" s="3" t="n">
        <v>68.01000000000001</v>
      </c>
      <c r="E60" s="3" t="n">
        <v>17.61</v>
      </c>
      <c r="F60" s="3" t="n">
        <v>23.29</v>
      </c>
      <c r="G60" s="3" t="n">
        <v>13.15</v>
      </c>
      <c r="H60" s="3" t="n">
        <v>33.93</v>
      </c>
      <c r="I60" s="3" t="n">
        <v>13.74</v>
      </c>
      <c r="J60" s="3" t="n">
        <v>103.55</v>
      </c>
    </row>
    <row r="61">
      <c r="A61" s="8" t="n">
        <v>44512</v>
      </c>
      <c r="B61" s="3" t="n">
        <v>16.77</v>
      </c>
      <c r="C61" s="3" t="n">
        <v>35.65</v>
      </c>
      <c r="D61" s="3" t="n">
        <v>68.3</v>
      </c>
      <c r="E61" s="3" t="n">
        <v>17.51</v>
      </c>
      <c r="F61" s="3" t="n">
        <v>23.08</v>
      </c>
      <c r="G61" s="3" t="n">
        <v>13.05</v>
      </c>
      <c r="H61" s="3" t="n">
        <v>32.23</v>
      </c>
      <c r="I61" s="3" t="n">
        <v>13.2</v>
      </c>
      <c r="J61" s="3" t="n">
        <v>102.13</v>
      </c>
    </row>
    <row r="62">
      <c r="A62" s="8" t="n">
        <v>44516</v>
      </c>
      <c r="B62" s="3" t="n">
        <v>16.68</v>
      </c>
      <c r="C62" s="3" t="n">
        <v>35.38</v>
      </c>
      <c r="D62" s="3" t="n">
        <v>66.33</v>
      </c>
      <c r="E62" s="3" t="n">
        <v>17.51</v>
      </c>
      <c r="F62" s="3" t="n">
        <v>23.16</v>
      </c>
      <c r="G62" s="3" t="n">
        <v>12.75</v>
      </c>
      <c r="H62" s="3" t="n">
        <v>31.21</v>
      </c>
      <c r="I62" s="3" t="n">
        <v>12.86</v>
      </c>
      <c r="J62" s="3" t="n">
        <v>100.36</v>
      </c>
    </row>
    <row r="63">
      <c r="A63" s="8" t="n">
        <v>44517</v>
      </c>
      <c r="B63" s="3" t="n">
        <v>16.78</v>
      </c>
      <c r="C63" s="3" t="n">
        <v>35.77</v>
      </c>
      <c r="D63" s="3" t="n">
        <v>65</v>
      </c>
      <c r="E63" s="3" t="n">
        <v>17.54</v>
      </c>
      <c r="F63" s="3" t="n">
        <v>22.67</v>
      </c>
      <c r="G63" s="3" t="n">
        <v>12.66</v>
      </c>
      <c r="H63" s="3" t="n">
        <v>30.98</v>
      </c>
      <c r="I63" s="3" t="n">
        <v>12.59</v>
      </c>
      <c r="J63" s="3" t="n">
        <v>99.25</v>
      </c>
    </row>
    <row r="64">
      <c r="A64" s="8" t="n">
        <v>44518</v>
      </c>
      <c r="B64" s="3" t="n">
        <v>16.75</v>
      </c>
      <c r="C64" s="3" t="n">
        <v>35.92</v>
      </c>
      <c r="D64" s="3" t="n">
        <v>62.33</v>
      </c>
      <c r="E64" s="3" t="n">
        <v>17.6</v>
      </c>
      <c r="F64" s="3" t="n">
        <v>22.73</v>
      </c>
      <c r="G64" s="3" t="n">
        <v>12.47</v>
      </c>
      <c r="H64" s="3" t="n">
        <v>31.85</v>
      </c>
      <c r="I64" s="3" t="n">
        <v>13.06</v>
      </c>
      <c r="J64" s="3" t="n">
        <v>98.65000000000001</v>
      </c>
    </row>
    <row r="65">
      <c r="A65" s="8" t="n">
        <v>44519</v>
      </c>
      <c r="B65" s="3" t="n">
        <v>17.02</v>
      </c>
      <c r="C65" s="3" t="n">
        <v>35.79</v>
      </c>
      <c r="D65" s="3" t="n">
        <v>64.03</v>
      </c>
      <c r="E65" s="3" t="n">
        <v>17.39</v>
      </c>
      <c r="F65" s="3" t="n">
        <v>22.23</v>
      </c>
      <c r="G65" s="3" t="n">
        <v>12.47</v>
      </c>
      <c r="H65" s="3" t="n">
        <v>32.32</v>
      </c>
      <c r="I65" s="3" t="n">
        <v>13.19</v>
      </c>
      <c r="J65" s="3" t="n">
        <v>99.27</v>
      </c>
    </row>
    <row r="66">
      <c r="A66" s="8" t="n">
        <v>44522</v>
      </c>
      <c r="B66" s="3" t="n">
        <v>16.86</v>
      </c>
      <c r="C66" s="3" t="n">
        <v>34.67</v>
      </c>
      <c r="D66" s="3" t="n">
        <v>67.59</v>
      </c>
      <c r="E66" s="3" t="n">
        <v>17.32</v>
      </c>
      <c r="F66" s="3" t="n">
        <v>21.82</v>
      </c>
      <c r="G66" s="3" t="n">
        <v>12.1</v>
      </c>
      <c r="H66" s="3" t="n">
        <v>31.18</v>
      </c>
      <c r="I66" s="3" t="n">
        <v>12.77</v>
      </c>
      <c r="J66" s="3" t="n">
        <v>98.23999999999999</v>
      </c>
    </row>
    <row r="67">
      <c r="A67" s="8" t="n">
        <v>44523</v>
      </c>
      <c r="B67" s="3" t="n">
        <v>17.56</v>
      </c>
      <c r="C67" s="3" t="n">
        <v>34.16</v>
      </c>
      <c r="D67" s="3" t="n">
        <v>69.37</v>
      </c>
      <c r="E67" s="3" t="n">
        <v>17.2</v>
      </c>
      <c r="F67" s="3" t="n">
        <v>21.52</v>
      </c>
      <c r="G67" s="3" t="n">
        <v>11.98</v>
      </c>
      <c r="H67" s="3" t="n">
        <v>31.15</v>
      </c>
      <c r="I67" s="3" t="n">
        <v>12.84</v>
      </c>
      <c r="J67" s="3" t="n">
        <v>100</v>
      </c>
    </row>
    <row r="68">
      <c r="A68" s="8" t="n">
        <v>44524</v>
      </c>
      <c r="B68" s="3" t="n">
        <v>17.55</v>
      </c>
      <c r="C68" s="3" t="n">
        <v>33.53</v>
      </c>
      <c r="D68" s="3" t="n">
        <v>70.98</v>
      </c>
      <c r="E68" s="3" t="n">
        <v>17.1</v>
      </c>
      <c r="F68" s="3" t="n">
        <v>21.63</v>
      </c>
      <c r="G68" s="3" t="n">
        <v>12.19</v>
      </c>
      <c r="H68" s="3" t="n">
        <v>30.61</v>
      </c>
      <c r="I68" s="3" t="n">
        <v>12.53</v>
      </c>
      <c r="J68" s="3" t="n">
        <v>100.66</v>
      </c>
    </row>
    <row r="69">
      <c r="A69" s="8" t="n">
        <v>44525</v>
      </c>
      <c r="B69" s="3" t="n">
        <v>17.91</v>
      </c>
      <c r="C69" s="3" t="n">
        <v>33.8</v>
      </c>
      <c r="D69" s="3" t="n">
        <v>70.5</v>
      </c>
      <c r="E69" s="3" t="n">
        <v>17.23</v>
      </c>
      <c r="F69" s="3" t="n">
        <v>22.13</v>
      </c>
      <c r="G69" s="3" t="n">
        <v>12.37</v>
      </c>
      <c r="H69" s="3" t="n">
        <v>30.77</v>
      </c>
      <c r="I69" s="3" t="n">
        <v>12.27</v>
      </c>
      <c r="J69" s="3" t="n">
        <v>101.99</v>
      </c>
    </row>
    <row r="70">
      <c r="A70" s="8" t="n">
        <v>44526</v>
      </c>
      <c r="B70" s="3" t="n">
        <v>17.62</v>
      </c>
      <c r="C70" s="3" t="n">
        <v>32.69</v>
      </c>
      <c r="D70" s="3" t="n">
        <v>68.64</v>
      </c>
      <c r="E70" s="3" t="n">
        <v>16.69</v>
      </c>
      <c r="F70" s="3" t="n">
        <v>21.53</v>
      </c>
      <c r="G70" s="3" t="n">
        <v>11.78</v>
      </c>
      <c r="H70" s="3" t="n">
        <v>29.36</v>
      </c>
      <c r="I70" s="3" t="n">
        <v>11.66</v>
      </c>
      <c r="J70" s="3" t="n">
        <v>98.39</v>
      </c>
    </row>
    <row r="71">
      <c r="A71" s="8" t="n">
        <v>44529</v>
      </c>
      <c r="B71" s="3" t="n">
        <v>17.62</v>
      </c>
      <c r="C71" s="3" t="n">
        <v>32.41</v>
      </c>
      <c r="D71" s="3" t="n">
        <v>69.5</v>
      </c>
      <c r="E71" s="3" t="n">
        <v>16.34</v>
      </c>
      <c r="F71" s="3" t="n">
        <v>21.4</v>
      </c>
      <c r="G71" s="3" t="n">
        <v>11.5</v>
      </c>
      <c r="H71" s="3" t="n">
        <v>28.94</v>
      </c>
      <c r="I71" s="3" t="n">
        <v>11.41</v>
      </c>
      <c r="J71" s="3" t="n">
        <v>99.01000000000001</v>
      </c>
    </row>
    <row r="72">
      <c r="A72" s="8" t="n">
        <v>44530</v>
      </c>
      <c r="B72" s="3" t="n">
        <v>17.57</v>
      </c>
      <c r="C72" s="3" t="n">
        <v>32.23</v>
      </c>
      <c r="D72" s="3" t="n">
        <v>69.95</v>
      </c>
      <c r="E72" s="3" t="n">
        <v>16.06</v>
      </c>
      <c r="F72" s="3" t="n">
        <v>20.88</v>
      </c>
      <c r="G72" s="3" t="n">
        <v>11.11</v>
      </c>
      <c r="H72" s="3" t="n">
        <v>28.45</v>
      </c>
      <c r="I72" s="3" t="n">
        <v>10.91</v>
      </c>
      <c r="J72" s="3" t="n">
        <v>98.34999999999999</v>
      </c>
    </row>
    <row r="73">
      <c r="A73" s="8" t="n">
        <v>44531</v>
      </c>
      <c r="B73" s="3" t="n">
        <v>17.51</v>
      </c>
      <c r="C73" s="3" t="n">
        <v>32.49</v>
      </c>
      <c r="D73" s="3" t="n">
        <v>70.23</v>
      </c>
      <c r="E73" s="3" t="n">
        <v>15.86</v>
      </c>
      <c r="F73" s="3" t="n">
        <v>20.43</v>
      </c>
      <c r="G73" s="3" t="n">
        <v>11.01</v>
      </c>
      <c r="H73" s="3" t="n">
        <v>28.29</v>
      </c>
      <c r="I73" s="3" t="n">
        <v>10.33</v>
      </c>
      <c r="J73" s="3" t="n">
        <v>97.09</v>
      </c>
    </row>
    <row r="74">
      <c r="A74" s="8" t="n">
        <v>44532</v>
      </c>
      <c r="B74" s="3" t="n">
        <v>17.61</v>
      </c>
      <c r="C74" s="3" t="n">
        <v>32.72</v>
      </c>
      <c r="D74" s="3" t="n">
        <v>73.48999999999999</v>
      </c>
      <c r="E74" s="3" t="n">
        <v>16.01</v>
      </c>
      <c r="F74" s="3" t="n">
        <v>21.05</v>
      </c>
      <c r="G74" s="3" t="n">
        <v>11.46</v>
      </c>
      <c r="H74" s="3" t="n">
        <v>28.61</v>
      </c>
      <c r="I74" s="3" t="n">
        <v>11.02</v>
      </c>
      <c r="J74" s="3" t="n">
        <v>100.43</v>
      </c>
    </row>
    <row r="75">
      <c r="A75" s="8" t="n">
        <v>44533</v>
      </c>
      <c r="B75" s="3" t="n">
        <v>18.1</v>
      </c>
      <c r="C75" s="3" t="n">
        <v>32.78</v>
      </c>
      <c r="D75" s="3" t="n">
        <v>71.87</v>
      </c>
      <c r="E75" s="3" t="n">
        <v>16</v>
      </c>
      <c r="F75" s="3" t="n">
        <v>21.18</v>
      </c>
      <c r="G75" s="3" t="n">
        <v>11.63</v>
      </c>
      <c r="H75" s="3" t="n">
        <v>29.25</v>
      </c>
      <c r="I75" s="3" t="n">
        <v>11.43</v>
      </c>
      <c r="J75" s="3" t="n">
        <v>101.32</v>
      </c>
    </row>
    <row r="76">
      <c r="A76" s="8" t="n">
        <v>44536</v>
      </c>
      <c r="B76" s="3" t="n">
        <v>17.6</v>
      </c>
      <c r="C76" s="3" t="n">
        <v>33.01</v>
      </c>
      <c r="D76" s="3" t="n">
        <v>75.77</v>
      </c>
      <c r="E76" s="3" t="n">
        <v>16.08</v>
      </c>
      <c r="F76" s="3" t="n">
        <v>21.29</v>
      </c>
      <c r="G76" s="3" t="n">
        <v>11.78</v>
      </c>
      <c r="H76" s="3" t="n">
        <v>29.79</v>
      </c>
      <c r="I76" s="3" t="n">
        <v>11.23</v>
      </c>
      <c r="J76" s="3" t="n">
        <v>103</v>
      </c>
    </row>
    <row r="77">
      <c r="A77" s="8" t="n">
        <v>44537</v>
      </c>
      <c r="B77" s="3" t="n">
        <v>17.29</v>
      </c>
      <c r="C77" s="3" t="n">
        <v>34.56</v>
      </c>
      <c r="D77" s="3" t="n">
        <v>76.33</v>
      </c>
      <c r="E77" s="3" t="n">
        <v>16.1</v>
      </c>
      <c r="F77" s="3" t="n">
        <v>21.22</v>
      </c>
      <c r="G77" s="3" t="n">
        <v>12.05</v>
      </c>
      <c r="H77" s="3" t="n">
        <v>29.46</v>
      </c>
      <c r="I77" s="3" t="n">
        <v>11.18</v>
      </c>
      <c r="J77" s="3" t="n">
        <v>103.63</v>
      </c>
    </row>
    <row r="78">
      <c r="A78" s="8" t="n">
        <v>44538</v>
      </c>
      <c r="B78" s="3" t="n">
        <v>17.7</v>
      </c>
      <c r="C78" s="3" t="n">
        <v>36.04</v>
      </c>
      <c r="D78" s="3" t="n">
        <v>75.76000000000001</v>
      </c>
      <c r="E78" s="3" t="n">
        <v>16.08</v>
      </c>
      <c r="F78" s="3" t="n">
        <v>21.66</v>
      </c>
      <c r="G78" s="3" t="n">
        <v>12.12</v>
      </c>
      <c r="H78" s="3" t="n">
        <v>29.6</v>
      </c>
      <c r="I78" s="3" t="n">
        <v>11.32</v>
      </c>
      <c r="J78" s="3" t="n">
        <v>104.2</v>
      </c>
    </row>
    <row r="79">
      <c r="A79" s="8" t="n">
        <v>44539</v>
      </c>
      <c r="B79" s="3" t="n">
        <v>17.45</v>
      </c>
      <c r="C79" s="3" t="n">
        <v>36.5</v>
      </c>
      <c r="D79" s="3" t="n">
        <v>75.18000000000001</v>
      </c>
      <c r="E79" s="3" t="n">
        <v>15.81</v>
      </c>
      <c r="F79" s="3" t="n">
        <v>21.11</v>
      </c>
      <c r="G79" s="3" t="n">
        <v>11.71</v>
      </c>
      <c r="H79" s="3" t="n">
        <v>28.25</v>
      </c>
      <c r="I79" s="3" t="n">
        <v>11.21</v>
      </c>
      <c r="J79" s="3" t="n">
        <v>102.14</v>
      </c>
    </row>
    <row r="80">
      <c r="A80" s="8" t="n">
        <v>44540</v>
      </c>
      <c r="B80" s="3" t="n">
        <v>18.02</v>
      </c>
      <c r="C80" s="3" t="n">
        <v>35.8</v>
      </c>
      <c r="D80" s="3" t="n">
        <v>75.65000000000001</v>
      </c>
      <c r="E80" s="3" t="n">
        <v>15.95</v>
      </c>
      <c r="F80" s="3" t="n">
        <v>21.15</v>
      </c>
      <c r="G80" s="3" t="n">
        <v>12.38</v>
      </c>
      <c r="H80" s="3" t="n">
        <v>28.4</v>
      </c>
      <c r="I80" s="3" t="n">
        <v>11.2</v>
      </c>
      <c r="J80" s="3" t="n">
        <v>103.73</v>
      </c>
    </row>
    <row r="81">
      <c r="A81" s="8" t="n">
        <v>44543</v>
      </c>
      <c r="B81" s="3" t="n">
        <v>18.12</v>
      </c>
      <c r="C81" s="3" t="n">
        <v>35.6</v>
      </c>
      <c r="D81" s="3" t="n">
        <v>77.86</v>
      </c>
      <c r="E81" s="3" t="n">
        <v>16.01</v>
      </c>
      <c r="F81" s="3" t="n">
        <v>20.89</v>
      </c>
      <c r="G81" s="3" t="n">
        <v>12.15</v>
      </c>
      <c r="H81" s="3" t="n">
        <v>27.81</v>
      </c>
      <c r="I81" s="3" t="n">
        <v>11.55</v>
      </c>
      <c r="J81" s="3" t="n">
        <v>103.5</v>
      </c>
    </row>
    <row r="82">
      <c r="A82" s="8" t="n">
        <v>44544</v>
      </c>
      <c r="B82" s="3" t="n">
        <v>18.54</v>
      </c>
      <c r="C82" s="3" t="n">
        <v>35.29</v>
      </c>
      <c r="D82" s="3" t="n">
        <v>77.84999999999999</v>
      </c>
      <c r="E82" s="3" t="n">
        <v>16.17</v>
      </c>
      <c r="F82" s="3" t="n">
        <v>20.77</v>
      </c>
      <c r="G82" s="3" t="n">
        <v>12.1</v>
      </c>
      <c r="H82" s="3" t="n">
        <v>26.45</v>
      </c>
      <c r="I82" s="3" t="n">
        <v>11.31</v>
      </c>
      <c r="J82" s="3" t="n">
        <v>102.7</v>
      </c>
    </row>
    <row r="83">
      <c r="A83" s="8" t="n">
        <v>44545</v>
      </c>
      <c r="B83" s="3" t="n">
        <v>18.77</v>
      </c>
      <c r="C83" s="3" t="n">
        <v>35.61</v>
      </c>
      <c r="D83" s="3" t="n">
        <v>77.41</v>
      </c>
      <c r="E83" s="3" t="n">
        <v>16.08</v>
      </c>
      <c r="F83" s="3" t="n">
        <v>21.03</v>
      </c>
      <c r="G83" s="3" t="n">
        <v>12.06</v>
      </c>
      <c r="H83" s="3" t="n">
        <v>26.99</v>
      </c>
      <c r="I83" s="3" t="n">
        <v>11.36</v>
      </c>
      <c r="J83" s="3" t="n">
        <v>103.2</v>
      </c>
    </row>
    <row r="84">
      <c r="A84" s="8" t="n">
        <v>44546</v>
      </c>
      <c r="B84" s="3" t="n">
        <v>18.45</v>
      </c>
      <c r="C84" s="3" t="n">
        <v>35.6</v>
      </c>
      <c r="D84" s="3" t="n">
        <v>80.44</v>
      </c>
      <c r="E84" s="3" t="n">
        <v>16.1</v>
      </c>
      <c r="F84" s="3" t="n">
        <v>20.93</v>
      </c>
      <c r="G84" s="3" t="n">
        <v>12.07</v>
      </c>
      <c r="H84" s="3" t="n">
        <v>26.2</v>
      </c>
      <c r="I84" s="3" t="n">
        <v>11.54</v>
      </c>
      <c r="J84" s="3" t="n">
        <v>104.41</v>
      </c>
    </row>
    <row r="85">
      <c r="A85" s="8" t="n">
        <v>44547</v>
      </c>
      <c r="B85" s="3" t="n">
        <v>18.24</v>
      </c>
      <c r="C85" s="3" t="n">
        <v>34.85</v>
      </c>
      <c r="D85" s="3" t="n">
        <v>79.17</v>
      </c>
      <c r="E85" s="3" t="n">
        <v>16.07</v>
      </c>
      <c r="F85" s="3" t="n">
        <v>20.54</v>
      </c>
      <c r="G85" s="3" t="n">
        <v>12.31</v>
      </c>
      <c r="H85" s="3" t="n">
        <v>26.24</v>
      </c>
      <c r="I85" s="3" t="n">
        <v>11.37</v>
      </c>
      <c r="J85" s="3" t="n">
        <v>103.1</v>
      </c>
    </row>
    <row r="86">
      <c r="A86" s="8" t="n">
        <v>44550</v>
      </c>
      <c r="B86" s="3" t="n">
        <v>18.18</v>
      </c>
      <c r="C86" s="3" t="n">
        <v>34.01</v>
      </c>
      <c r="D86" s="3" t="n">
        <v>78.28</v>
      </c>
      <c r="E86" s="3" t="n">
        <v>15.42</v>
      </c>
      <c r="F86" s="3" t="n">
        <v>20.38</v>
      </c>
      <c r="G86" s="3" t="n">
        <v>11.88</v>
      </c>
      <c r="H86" s="3" t="n">
        <v>25.26</v>
      </c>
      <c r="I86" s="3" t="n">
        <v>11.25</v>
      </c>
      <c r="J86" s="3" t="n">
        <v>101</v>
      </c>
    </row>
    <row r="87">
      <c r="A87" s="8" t="n">
        <v>44551</v>
      </c>
      <c r="B87" s="3" t="n">
        <v>18.06</v>
      </c>
      <c r="C87" s="3" t="n">
        <v>33.92</v>
      </c>
      <c r="D87" s="3" t="n">
        <v>80.34</v>
      </c>
      <c r="E87" s="3" t="n">
        <v>15.4</v>
      </c>
      <c r="F87" s="3" t="n">
        <v>20.52</v>
      </c>
      <c r="G87" s="3" t="n">
        <v>11.37</v>
      </c>
      <c r="H87" s="3" t="n">
        <v>24.69</v>
      </c>
      <c r="I87" s="3" t="n">
        <v>11.42</v>
      </c>
      <c r="J87" s="3" t="n">
        <v>101.42</v>
      </c>
    </row>
    <row r="88">
      <c r="A88" s="8" t="n">
        <v>44552</v>
      </c>
      <c r="B88" s="3" t="n">
        <v>18</v>
      </c>
      <c r="C88" s="3" t="n">
        <v>33.67</v>
      </c>
      <c r="D88" s="3" t="n">
        <v>79.92</v>
      </c>
      <c r="E88" s="3" t="n">
        <v>15.39</v>
      </c>
      <c r="F88" s="3" t="n">
        <v>20.51</v>
      </c>
      <c r="G88" s="3" t="n">
        <v>11.5</v>
      </c>
      <c r="H88" s="3" t="n">
        <v>24.6</v>
      </c>
      <c r="I88" s="3" t="n">
        <v>11.05</v>
      </c>
      <c r="J88" s="3" t="n">
        <v>101.43</v>
      </c>
    </row>
    <row r="89">
      <c r="A89" s="8" t="n">
        <v>44553</v>
      </c>
      <c r="B89" s="3" t="n">
        <v>17.67</v>
      </c>
      <c r="C89" s="3" t="n">
        <v>33.47</v>
      </c>
      <c r="D89" s="3" t="n">
        <v>79.15000000000001</v>
      </c>
      <c r="E89" s="3" t="n">
        <v>15.55</v>
      </c>
      <c r="F89" s="3" t="n">
        <v>20.62</v>
      </c>
      <c r="G89" s="3" t="n">
        <v>11.38</v>
      </c>
      <c r="H89" s="3" t="n">
        <v>24.17</v>
      </c>
      <c r="I89" s="3" t="n">
        <v>10.59</v>
      </c>
      <c r="J89" s="3" t="n">
        <v>100.85</v>
      </c>
    </row>
    <row r="90">
      <c r="A90" s="8" t="n">
        <v>44557</v>
      </c>
      <c r="B90" s="3" t="n">
        <v>17.8</v>
      </c>
      <c r="C90" s="3" t="n">
        <v>33.17</v>
      </c>
      <c r="D90" s="3" t="n">
        <v>78.95</v>
      </c>
      <c r="E90" s="3" t="n">
        <v>15.53</v>
      </c>
      <c r="F90" s="3" t="n">
        <v>20.75</v>
      </c>
      <c r="G90" s="3" t="n">
        <v>11.31</v>
      </c>
      <c r="H90" s="3" t="n">
        <v>24.37</v>
      </c>
      <c r="I90" s="3" t="n">
        <v>10.59</v>
      </c>
      <c r="J90" s="3" t="n">
        <v>101.6</v>
      </c>
    </row>
    <row r="91">
      <c r="A91" s="8" t="n">
        <v>44558</v>
      </c>
      <c r="B91" s="3" t="n">
        <v>17.53</v>
      </c>
      <c r="C91" s="3" t="n">
        <v>33.29</v>
      </c>
      <c r="D91" s="3" t="n">
        <v>76.8</v>
      </c>
      <c r="E91" s="3" t="n">
        <v>15.52</v>
      </c>
      <c r="F91" s="3" t="n">
        <v>20.79</v>
      </c>
      <c r="G91" s="3" t="n">
        <v>11.16</v>
      </c>
      <c r="H91" s="3" t="n">
        <v>24.46</v>
      </c>
      <c r="I91" s="3" t="n">
        <v>10.31</v>
      </c>
      <c r="J91" s="3" t="n">
        <v>101.06</v>
      </c>
    </row>
    <row r="92">
      <c r="A92" s="8" t="n">
        <v>44559</v>
      </c>
      <c r="B92" s="3" t="n">
        <v>17.5</v>
      </c>
      <c r="C92" s="3" t="n">
        <v>32.74</v>
      </c>
      <c r="D92" s="3" t="n">
        <v>77.25</v>
      </c>
      <c r="E92" s="3" t="n">
        <v>15.45</v>
      </c>
      <c r="F92" s="3" t="n">
        <v>20.67</v>
      </c>
      <c r="G92" s="3" t="n">
        <v>11.08</v>
      </c>
      <c r="H92" s="3" t="n">
        <v>23.9</v>
      </c>
      <c r="I92" s="3" t="n">
        <v>10.09</v>
      </c>
      <c r="J92" s="3" t="n">
        <v>100.25</v>
      </c>
    </row>
    <row r="93">
      <c r="A93" s="8" t="n">
        <v>44560</v>
      </c>
      <c r="B93" s="3" t="n">
        <v>17.76</v>
      </c>
      <c r="C93" s="3" t="n">
        <v>32.98</v>
      </c>
      <c r="D93" s="3" t="n">
        <v>77.95999999999999</v>
      </c>
      <c r="E93" s="3" t="n">
        <v>15.42</v>
      </c>
      <c r="F93" s="3" t="n">
        <v>20.75</v>
      </c>
      <c r="G93" s="3" t="n">
        <v>11.14</v>
      </c>
      <c r="H93" s="3" t="n">
        <v>24.44</v>
      </c>
      <c r="I93" s="3" t="n">
        <v>10.38</v>
      </c>
      <c r="J93" s="3" t="n">
        <v>100.8</v>
      </c>
    </row>
    <row r="94">
      <c r="A94" s="8" t="n">
        <v>44564</v>
      </c>
      <c r="B94" s="3" t="n">
        <v>17.39</v>
      </c>
      <c r="C94" s="3" t="n">
        <v>32.02</v>
      </c>
      <c r="D94" s="3" t="n">
        <v>78</v>
      </c>
      <c r="E94" s="3" t="n">
        <v>15.33</v>
      </c>
      <c r="F94" s="3" t="n">
        <v>20.6</v>
      </c>
      <c r="G94" s="3" t="n">
        <v>10.72</v>
      </c>
      <c r="H94" s="3" t="n">
        <v>23.08</v>
      </c>
      <c r="I94" s="3" t="n">
        <v>10.05</v>
      </c>
      <c r="J94" s="3" t="n">
        <v>99.93000000000001</v>
      </c>
    </row>
    <row r="95">
      <c r="A95" s="8" t="n">
        <v>44565</v>
      </c>
      <c r="B95" s="3" t="n">
        <v>17.37</v>
      </c>
      <c r="C95" s="3" t="n">
        <v>31.86</v>
      </c>
      <c r="D95" s="3" t="n">
        <v>77.08</v>
      </c>
      <c r="E95" s="3" t="n">
        <v>15.31</v>
      </c>
      <c r="F95" s="3" t="n">
        <v>20.55</v>
      </c>
      <c r="G95" s="3" t="n">
        <v>10.95</v>
      </c>
      <c r="H95" s="3" t="n">
        <v>22.8</v>
      </c>
      <c r="I95" s="3" t="n">
        <v>9.91</v>
      </c>
      <c r="J95" s="3" t="n">
        <v>99.56999999999999</v>
      </c>
    </row>
    <row r="96">
      <c r="A96" s="8" t="n">
        <v>44566</v>
      </c>
      <c r="B96" s="3" t="n">
        <v>16.61</v>
      </c>
      <c r="C96" s="3" t="n">
        <v>30.18</v>
      </c>
      <c r="D96" s="3" t="n">
        <v>77.81</v>
      </c>
      <c r="E96" s="3" t="n">
        <v>15.01</v>
      </c>
      <c r="F96" s="3" t="n">
        <v>20.3</v>
      </c>
      <c r="G96" s="3" t="n">
        <v>10.72</v>
      </c>
      <c r="H96" s="3" t="n">
        <v>21.69</v>
      </c>
      <c r="I96" s="3" t="n">
        <v>9.359999999999999</v>
      </c>
      <c r="J96" s="3" t="n">
        <v>97.09999999999999</v>
      </c>
    </row>
    <row r="97">
      <c r="A97" s="8" t="n">
        <v>44567</v>
      </c>
      <c r="B97" s="3" t="n">
        <v>16.1</v>
      </c>
      <c r="C97" s="3" t="n">
        <v>30.17</v>
      </c>
      <c r="D97" s="3" t="n">
        <v>79.38</v>
      </c>
      <c r="E97" s="3" t="n">
        <v>14.77</v>
      </c>
      <c r="F97" s="3" t="n">
        <v>20.44</v>
      </c>
      <c r="G97" s="3" t="n">
        <v>10.98</v>
      </c>
      <c r="H97" s="3" t="n">
        <v>22.8</v>
      </c>
      <c r="I97" s="3" t="n">
        <v>9.710000000000001</v>
      </c>
      <c r="J97" s="3" t="n">
        <v>97.84999999999999</v>
      </c>
    </row>
    <row r="98">
      <c r="A98" s="8" t="n">
        <v>44568</v>
      </c>
      <c r="B98" s="3" t="n">
        <v>15.86</v>
      </c>
      <c r="C98" s="3" t="n">
        <v>29.41</v>
      </c>
      <c r="D98" s="3" t="n">
        <v>84</v>
      </c>
      <c r="E98" s="3" t="n">
        <v>14.53</v>
      </c>
      <c r="F98" s="3" t="n">
        <v>19.8</v>
      </c>
      <c r="G98" s="3" t="n">
        <v>11.24</v>
      </c>
      <c r="H98" s="3" t="n">
        <v>22.99</v>
      </c>
      <c r="I98" s="3" t="n">
        <v>9.92</v>
      </c>
      <c r="J98" s="3" t="n">
        <v>98.7</v>
      </c>
    </row>
    <row r="99">
      <c r="A99" s="8" t="n">
        <v>44571</v>
      </c>
      <c r="B99" s="3" t="n">
        <v>15.65</v>
      </c>
      <c r="C99" s="3" t="n">
        <v>28.56</v>
      </c>
      <c r="D99" s="3" t="n">
        <v>83</v>
      </c>
      <c r="E99" s="3" t="n">
        <v>14.65</v>
      </c>
      <c r="F99" s="3" t="n">
        <v>19.31</v>
      </c>
      <c r="G99" s="3" t="n">
        <v>11.18</v>
      </c>
      <c r="H99" s="3" t="n">
        <v>22.74</v>
      </c>
      <c r="I99" s="3" t="n">
        <v>9.4</v>
      </c>
      <c r="J99" s="3" t="n">
        <v>98.43000000000001</v>
      </c>
    </row>
    <row r="100">
      <c r="A100" s="8" t="n">
        <v>44572</v>
      </c>
      <c r="B100" s="3" t="n">
        <v>16</v>
      </c>
      <c r="C100" s="3" t="n">
        <v>29.04</v>
      </c>
      <c r="D100" s="3" t="n">
        <v>84.58</v>
      </c>
      <c r="E100" s="3" t="n">
        <v>14.68</v>
      </c>
      <c r="F100" s="3" t="n">
        <v>19.33</v>
      </c>
      <c r="G100" s="3" t="n">
        <v>11.21</v>
      </c>
      <c r="H100" s="3" t="n">
        <v>23.26</v>
      </c>
      <c r="I100" s="3" t="n">
        <v>9.960000000000001</v>
      </c>
      <c r="J100" s="3" t="n">
        <v>100.1</v>
      </c>
    </row>
    <row r="101">
      <c r="A101" s="8" t="n">
        <v>44573</v>
      </c>
      <c r="B101" s="3" t="n">
        <v>16.33</v>
      </c>
      <c r="C101" s="3" t="n">
        <v>30.22</v>
      </c>
      <c r="D101" s="3" t="n">
        <v>85.5</v>
      </c>
      <c r="E101" s="3" t="n">
        <v>14.88</v>
      </c>
      <c r="F101" s="3" t="n">
        <v>19.15</v>
      </c>
      <c r="G101" s="3" t="n">
        <v>11.61</v>
      </c>
      <c r="H101" s="3" t="n">
        <v>24.65</v>
      </c>
      <c r="I101" s="3" t="n">
        <v>10.4</v>
      </c>
      <c r="J101" s="3" t="n">
        <v>101.91</v>
      </c>
    </row>
    <row r="102">
      <c r="A102" s="8" t="n">
        <v>44574</v>
      </c>
      <c r="B102" s="3" t="n">
        <v>16.26</v>
      </c>
      <c r="C102" s="3" t="n">
        <v>28.95</v>
      </c>
      <c r="D102" s="3" t="n">
        <v>84.2</v>
      </c>
      <c r="E102" s="3" t="n">
        <v>14.99</v>
      </c>
      <c r="F102" s="3" t="n">
        <v>19.18</v>
      </c>
      <c r="G102" s="3" t="n">
        <v>11.59</v>
      </c>
      <c r="H102" s="3" t="n">
        <v>24.76</v>
      </c>
      <c r="I102" s="3" t="n">
        <v>10.17</v>
      </c>
      <c r="J102" s="3" t="n">
        <v>101.55</v>
      </c>
    </row>
    <row r="103">
      <c r="A103" s="8" t="n">
        <v>44575</v>
      </c>
      <c r="B103" s="3" t="n">
        <v>16.31</v>
      </c>
      <c r="C103" s="3" t="n">
        <v>30.7</v>
      </c>
      <c r="D103" s="3" t="n">
        <v>84.69</v>
      </c>
      <c r="E103" s="3" t="n">
        <v>15.1</v>
      </c>
      <c r="F103" s="3" t="n">
        <v>19.45</v>
      </c>
      <c r="G103" s="3" t="n">
        <v>12.22</v>
      </c>
      <c r="H103" s="3" t="n">
        <v>23.97</v>
      </c>
      <c r="I103" s="3" t="n">
        <v>10.31</v>
      </c>
      <c r="J103" s="3" t="n">
        <v>103.07</v>
      </c>
    </row>
    <row r="104">
      <c r="A104" s="8" t="n">
        <v>44578</v>
      </c>
      <c r="B104" s="3" t="n">
        <v>16.35</v>
      </c>
      <c r="C104" s="3" t="n">
        <v>30.35</v>
      </c>
      <c r="D104" s="3" t="n">
        <v>84.25</v>
      </c>
      <c r="E104" s="3" t="n">
        <v>14.8</v>
      </c>
      <c r="F104" s="3" t="n">
        <v>19.67</v>
      </c>
      <c r="G104" s="3" t="n">
        <v>12.36</v>
      </c>
      <c r="H104" s="3" t="n">
        <v>23.49</v>
      </c>
      <c r="I104" s="3" t="n">
        <v>10.5</v>
      </c>
      <c r="J104" s="3" t="n">
        <v>102.58</v>
      </c>
    </row>
    <row r="105">
      <c r="A105" s="8" t="n">
        <v>44579</v>
      </c>
      <c r="B105" s="3" t="n">
        <v>16.4</v>
      </c>
      <c r="C105" s="3" t="n">
        <v>30.54</v>
      </c>
      <c r="D105" s="3" t="n">
        <v>86.31</v>
      </c>
      <c r="E105" s="3" t="n">
        <v>14.58</v>
      </c>
      <c r="F105" s="3" t="n">
        <v>20.31</v>
      </c>
      <c r="G105" s="3" t="n">
        <v>12.31</v>
      </c>
      <c r="H105" s="3" t="n">
        <v>23.5</v>
      </c>
      <c r="I105" s="3" t="n">
        <v>10.52</v>
      </c>
      <c r="J105" s="3" t="n">
        <v>102.85</v>
      </c>
    </row>
    <row r="106">
      <c r="A106" s="8" t="n">
        <v>44580</v>
      </c>
      <c r="B106" s="3" t="n">
        <v>16.73</v>
      </c>
      <c r="C106" s="3" t="n">
        <v>30.5</v>
      </c>
      <c r="D106" s="3" t="n">
        <v>88.20999999999999</v>
      </c>
      <c r="E106" s="3" t="n">
        <v>14.54</v>
      </c>
      <c r="F106" s="3" t="n">
        <v>20.68</v>
      </c>
      <c r="G106" s="3" t="n">
        <v>12.26</v>
      </c>
      <c r="H106" s="3" t="n">
        <v>24.85</v>
      </c>
      <c r="I106" s="3" t="n">
        <v>10.92</v>
      </c>
      <c r="J106" s="3" t="n">
        <v>104.05</v>
      </c>
    </row>
    <row r="107">
      <c r="A107" s="8" t="n">
        <v>44581</v>
      </c>
      <c r="B107" s="3" t="n">
        <v>17.48</v>
      </c>
      <c r="C107" s="3" t="n">
        <v>30.74</v>
      </c>
      <c r="D107" s="3" t="n">
        <v>86.70999999999999</v>
      </c>
      <c r="E107" s="3" t="n">
        <v>14.49</v>
      </c>
      <c r="F107" s="3" t="n">
        <v>20.55</v>
      </c>
      <c r="G107" s="3" t="n">
        <v>13.25</v>
      </c>
      <c r="H107" s="3" t="n">
        <v>26.14</v>
      </c>
      <c r="I107" s="3" t="n">
        <v>11.2</v>
      </c>
      <c r="J107" s="3" t="n">
        <v>104.9</v>
      </c>
    </row>
    <row r="108">
      <c r="A108" s="8" t="n">
        <v>44582</v>
      </c>
      <c r="B108" s="3" t="n">
        <v>16.98</v>
      </c>
      <c r="C108" s="3" t="n">
        <v>30.61</v>
      </c>
      <c r="D108" s="3" t="n">
        <v>84.91</v>
      </c>
      <c r="E108" s="3" t="n">
        <v>14.69</v>
      </c>
      <c r="F108" s="3" t="n">
        <v>20.62</v>
      </c>
      <c r="G108" s="3" t="n">
        <v>13.64</v>
      </c>
      <c r="H108" s="3" t="n">
        <v>26.44</v>
      </c>
      <c r="I108" s="3" t="n">
        <v>11.62</v>
      </c>
      <c r="J108" s="3" t="n">
        <v>104.7</v>
      </c>
    </row>
    <row r="109">
      <c r="A109" s="8" t="n">
        <v>44585</v>
      </c>
      <c r="B109" s="3" t="n">
        <v>16.63</v>
      </c>
      <c r="C109" s="3" t="n">
        <v>29.9</v>
      </c>
      <c r="D109" s="3" t="n">
        <v>83.87</v>
      </c>
      <c r="E109" s="3" t="n">
        <v>14.7</v>
      </c>
      <c r="F109" s="3" t="n">
        <v>20.93</v>
      </c>
      <c r="G109" s="3" t="n">
        <v>13.06</v>
      </c>
      <c r="H109" s="3" t="n">
        <v>25.88</v>
      </c>
      <c r="I109" s="3" t="n">
        <v>11.34</v>
      </c>
      <c r="J109" s="3" t="n">
        <v>104.08</v>
      </c>
    </row>
    <row r="110">
      <c r="A110" s="8" t="n">
        <v>44586</v>
      </c>
      <c r="B110" s="3" t="n">
        <v>16.82</v>
      </c>
      <c r="C110" s="3" t="n">
        <v>30.2</v>
      </c>
      <c r="D110" s="3" t="n">
        <v>84.06</v>
      </c>
      <c r="E110" s="3" t="n">
        <v>15.07</v>
      </c>
      <c r="F110" s="3" t="n">
        <v>21.13</v>
      </c>
      <c r="G110" s="3" t="n">
        <v>13.32</v>
      </c>
      <c r="H110" s="3" t="n">
        <v>27.01</v>
      </c>
      <c r="I110" s="3" t="n">
        <v>12.02</v>
      </c>
      <c r="J110" s="3" t="n">
        <v>106.33</v>
      </c>
    </row>
    <row r="111">
      <c r="A111" s="8" t="n">
        <v>44587</v>
      </c>
      <c r="B111" s="3" t="n">
        <v>16.87</v>
      </c>
      <c r="C111" s="3" t="n">
        <v>30.74</v>
      </c>
      <c r="D111" s="3" t="n">
        <v>84.3</v>
      </c>
      <c r="E111" s="3" t="n">
        <v>15</v>
      </c>
      <c r="F111" s="3" t="n">
        <v>21.14</v>
      </c>
      <c r="G111" s="3" t="n">
        <v>13.78</v>
      </c>
      <c r="H111" s="3" t="n">
        <v>27.75</v>
      </c>
      <c r="I111" s="3" t="n">
        <v>12.55</v>
      </c>
      <c r="J111" s="3" t="n">
        <v>107.39</v>
      </c>
    </row>
    <row r="112">
      <c r="A112" s="8" t="n">
        <v>44588</v>
      </c>
      <c r="B112" s="3" t="n">
        <v>16.66</v>
      </c>
      <c r="C112" s="3" t="n">
        <v>32.4</v>
      </c>
      <c r="D112" s="3" t="n">
        <v>84.48999999999999</v>
      </c>
      <c r="E112" s="3" t="n">
        <v>15.4</v>
      </c>
      <c r="F112" s="3" t="n">
        <v>22.39</v>
      </c>
      <c r="G112" s="3" t="n">
        <v>14.46</v>
      </c>
      <c r="H112" s="3" t="n">
        <v>27.93</v>
      </c>
      <c r="I112" s="3" t="n">
        <v>12.12</v>
      </c>
      <c r="J112" s="3" t="n">
        <v>108.2</v>
      </c>
    </row>
    <row r="113">
      <c r="A113" s="8" t="n">
        <v>44589</v>
      </c>
      <c r="B113" s="3" t="n">
        <v>15.76</v>
      </c>
      <c r="C113" s="3" t="n">
        <v>31.62</v>
      </c>
      <c r="D113" s="3" t="n">
        <v>83.66</v>
      </c>
      <c r="E113" s="3" t="n">
        <v>14.93</v>
      </c>
      <c r="F113" s="3" t="n">
        <v>22.68</v>
      </c>
      <c r="G113" s="3" t="n">
        <v>14.74</v>
      </c>
      <c r="H113" s="3" t="n">
        <v>28.15</v>
      </c>
      <c r="I113" s="3" t="n">
        <v>12.4</v>
      </c>
      <c r="J113" s="3" t="n">
        <v>107.58</v>
      </c>
    </row>
    <row r="114">
      <c r="A114" s="8" t="n">
        <v>44592</v>
      </c>
      <c r="B114" s="3" t="n">
        <v>15.62</v>
      </c>
      <c r="C114" s="3" t="n">
        <v>32.16</v>
      </c>
      <c r="D114" s="3" t="n">
        <v>80.87</v>
      </c>
      <c r="E114" s="3" t="n">
        <v>14.97</v>
      </c>
      <c r="F114" s="3" t="n">
        <v>23.14</v>
      </c>
      <c r="G114" s="3" t="n">
        <v>14.62</v>
      </c>
      <c r="H114" s="3" t="n">
        <v>28.12</v>
      </c>
      <c r="I114" s="3" t="n">
        <v>12.66</v>
      </c>
      <c r="J114" s="3" t="n">
        <v>107.98</v>
      </c>
    </row>
    <row r="115">
      <c r="A115" s="8" t="n">
        <v>44593</v>
      </c>
      <c r="B115" s="3" t="n">
        <v>15.51</v>
      </c>
      <c r="C115" s="3" t="n">
        <v>32.06</v>
      </c>
      <c r="D115" s="3" t="n">
        <v>85.31</v>
      </c>
      <c r="E115" s="3" t="n">
        <v>14.85</v>
      </c>
      <c r="F115" s="3" t="n">
        <v>23.09</v>
      </c>
      <c r="G115" s="3" t="n">
        <v>14.26</v>
      </c>
      <c r="H115" s="3" t="n">
        <v>26.98</v>
      </c>
      <c r="I115" s="3" t="n">
        <v>12.48</v>
      </c>
      <c r="J115" s="3" t="n">
        <v>109.15</v>
      </c>
    </row>
    <row r="116">
      <c r="A116" s="8" t="n">
        <v>44594</v>
      </c>
      <c r="B116" s="3" t="n">
        <v>15.45</v>
      </c>
      <c r="C116" s="3" t="n">
        <v>31.77</v>
      </c>
      <c r="D116" s="3" t="n">
        <v>85.79000000000001</v>
      </c>
      <c r="E116" s="3" t="n">
        <v>14.52</v>
      </c>
      <c r="F116" s="3" t="n">
        <v>22.8</v>
      </c>
      <c r="G116" s="3" t="n">
        <v>14.13</v>
      </c>
      <c r="H116" s="3" t="n">
        <v>26.59</v>
      </c>
      <c r="I116" s="3" t="n">
        <v>12.49</v>
      </c>
      <c r="J116" s="3" t="n">
        <v>107.69</v>
      </c>
    </row>
    <row r="117">
      <c r="A117" s="8" t="n">
        <v>44595</v>
      </c>
      <c r="B117" s="3" t="n">
        <v>15.22</v>
      </c>
      <c r="C117" s="3" t="n">
        <v>30.95</v>
      </c>
      <c r="D117" s="3" t="n">
        <v>85.75</v>
      </c>
      <c r="E117" s="3" t="n">
        <v>14.46</v>
      </c>
      <c r="F117" s="3" t="n">
        <v>22.93</v>
      </c>
      <c r="G117" s="3" t="n">
        <v>14.14</v>
      </c>
      <c r="H117" s="3" t="n">
        <v>26.67</v>
      </c>
      <c r="I117" s="3" t="n">
        <v>12.61</v>
      </c>
      <c r="J117" s="3" t="n">
        <v>107.77</v>
      </c>
    </row>
    <row r="118">
      <c r="A118" s="8" t="n">
        <v>44596</v>
      </c>
      <c r="B118" s="3" t="n">
        <v>15.26</v>
      </c>
      <c r="C118" s="3" t="n">
        <v>30.85</v>
      </c>
      <c r="D118" s="3" t="n">
        <v>87.98</v>
      </c>
      <c r="E118" s="3" t="n">
        <v>14.41</v>
      </c>
      <c r="F118" s="3" t="n">
        <v>22.83</v>
      </c>
      <c r="G118" s="3" t="n">
        <v>14.13</v>
      </c>
      <c r="H118" s="3" t="n">
        <v>26.2</v>
      </c>
      <c r="I118" s="3" t="n">
        <v>12.43</v>
      </c>
      <c r="J118" s="3" t="n">
        <v>108.02</v>
      </c>
    </row>
    <row r="119">
      <c r="A119" s="8" t="n">
        <v>44599</v>
      </c>
      <c r="B119" s="3" t="n">
        <v>14.87</v>
      </c>
      <c r="C119" s="3" t="n">
        <v>31</v>
      </c>
      <c r="D119" s="3" t="n">
        <v>90.13</v>
      </c>
      <c r="E119" s="3" t="n">
        <v>14.29</v>
      </c>
      <c r="F119" s="3" t="n">
        <v>24.14</v>
      </c>
      <c r="G119" s="3" t="n">
        <v>13.7</v>
      </c>
      <c r="H119" s="3" t="n">
        <v>25.69</v>
      </c>
      <c r="I119" s="3" t="n">
        <v>11.85</v>
      </c>
      <c r="J119" s="3" t="n">
        <v>107.72</v>
      </c>
    </row>
    <row r="120">
      <c r="A120" s="8" t="n">
        <v>44600</v>
      </c>
      <c r="B120" s="3" t="n">
        <v>15.57</v>
      </c>
      <c r="C120" s="3" t="n">
        <v>30.22</v>
      </c>
      <c r="D120" s="3" t="n">
        <v>91.39</v>
      </c>
      <c r="E120" s="3" t="n">
        <v>14.16</v>
      </c>
      <c r="F120" s="3" t="n">
        <v>24.1</v>
      </c>
      <c r="G120" s="3" t="n">
        <v>13.55</v>
      </c>
      <c r="H120" s="3" t="n">
        <v>25.58</v>
      </c>
      <c r="I120" s="3" t="n">
        <v>11.38</v>
      </c>
      <c r="J120" s="3" t="n">
        <v>108.23</v>
      </c>
    </row>
    <row r="121">
      <c r="A121" s="8" t="n">
        <v>44601</v>
      </c>
      <c r="B121" s="3" t="n">
        <v>16.06</v>
      </c>
      <c r="C121" s="3" t="n">
        <v>30.29</v>
      </c>
      <c r="D121" s="3" t="n">
        <v>91.41</v>
      </c>
      <c r="E121" s="3" t="n">
        <v>14.54</v>
      </c>
      <c r="F121" s="3" t="n">
        <v>24.27</v>
      </c>
      <c r="G121" s="3" t="n">
        <v>14.16</v>
      </c>
      <c r="H121" s="3" t="n">
        <v>25.91</v>
      </c>
      <c r="I121" s="3" t="n">
        <v>11.56</v>
      </c>
      <c r="J121" s="3" t="n">
        <v>108.23</v>
      </c>
    </row>
    <row r="122">
      <c r="A122" s="8" t="n">
        <v>44602</v>
      </c>
      <c r="B122" s="3" t="n">
        <v>15.97</v>
      </c>
      <c r="C122" s="3" t="n">
        <v>29.74</v>
      </c>
      <c r="D122" s="3" t="n">
        <v>93.87</v>
      </c>
      <c r="E122" s="3" t="n">
        <v>14.75</v>
      </c>
      <c r="F122" s="3" t="n">
        <v>24.36</v>
      </c>
      <c r="G122" s="3" t="n">
        <v>14.1</v>
      </c>
      <c r="H122" s="3" t="n">
        <v>25.58</v>
      </c>
      <c r="I122" s="3" t="n">
        <v>11.72</v>
      </c>
      <c r="J122" s="3" t="n">
        <v>109.1</v>
      </c>
    </row>
    <row r="123">
      <c r="A123" s="8" t="n">
        <v>44603</v>
      </c>
      <c r="B123" s="3" t="n">
        <v>16.06</v>
      </c>
      <c r="C123" s="3" t="n">
        <v>29.53</v>
      </c>
      <c r="D123" s="3" t="n">
        <v>91.97</v>
      </c>
      <c r="E123" s="3" t="n">
        <v>14.86</v>
      </c>
      <c r="F123" s="3" t="n">
        <v>22.76</v>
      </c>
      <c r="G123" s="3" t="n">
        <v>13.92</v>
      </c>
      <c r="H123" s="3" t="n">
        <v>25.35</v>
      </c>
      <c r="I123" s="3" t="n">
        <v>11.9</v>
      </c>
      <c r="J123" s="3" t="n">
        <v>109.31</v>
      </c>
    </row>
    <row r="124">
      <c r="A124" s="8" t="n">
        <v>44606</v>
      </c>
      <c r="B124" s="3" t="n">
        <v>16.19</v>
      </c>
      <c r="C124" s="3" t="n">
        <v>30.44</v>
      </c>
      <c r="D124" s="3" t="n">
        <v>91.56999999999999</v>
      </c>
      <c r="E124" s="3" t="n">
        <v>15.06</v>
      </c>
      <c r="F124" s="3" t="n">
        <v>23.37</v>
      </c>
      <c r="G124" s="3" t="n">
        <v>14.12</v>
      </c>
      <c r="H124" s="3" t="n">
        <v>25.91</v>
      </c>
      <c r="I124" s="3" t="n">
        <v>12.19</v>
      </c>
      <c r="J124" s="3" t="n">
        <v>109.52</v>
      </c>
    </row>
    <row r="125">
      <c r="A125" s="8" t="n">
        <v>44607</v>
      </c>
      <c r="B125" s="3" t="n">
        <v>16.64</v>
      </c>
      <c r="C125" s="3" t="n">
        <v>32.88</v>
      </c>
      <c r="D125" s="3" t="n">
        <v>88.84999999999999</v>
      </c>
      <c r="E125" s="3" t="n">
        <v>15.38</v>
      </c>
      <c r="F125" s="3" t="n">
        <v>23.14</v>
      </c>
      <c r="G125" s="3" t="n">
        <v>14.6</v>
      </c>
      <c r="H125" s="3" t="n">
        <v>27.11</v>
      </c>
      <c r="I125" s="3" t="n">
        <v>12.77</v>
      </c>
      <c r="J125" s="3" t="n">
        <v>110.6</v>
      </c>
    </row>
    <row r="126">
      <c r="A126" s="8" t="n">
        <v>44608</v>
      </c>
      <c r="B126" s="3" t="n">
        <v>16.71</v>
      </c>
      <c r="C126" s="3" t="n">
        <v>31.3</v>
      </c>
      <c r="D126" s="3" t="n">
        <v>89.5</v>
      </c>
      <c r="E126" s="3" t="n">
        <v>15.08</v>
      </c>
      <c r="F126" s="3" t="n">
        <v>23.08</v>
      </c>
      <c r="G126" s="3" t="n">
        <v>14.59</v>
      </c>
      <c r="H126" s="3" t="n">
        <v>27.51</v>
      </c>
      <c r="I126" s="3" t="n">
        <v>12.72</v>
      </c>
      <c r="J126" s="3" t="n">
        <v>110.77</v>
      </c>
    </row>
    <row r="127">
      <c r="A127" s="8" t="n">
        <v>44609</v>
      </c>
      <c r="B127" s="3" t="n">
        <v>16.68</v>
      </c>
      <c r="C127" s="3" t="n">
        <v>30.65</v>
      </c>
      <c r="D127" s="3" t="n">
        <v>85.65000000000001</v>
      </c>
      <c r="E127" s="3" t="n">
        <v>14.85</v>
      </c>
      <c r="F127" s="3" t="n">
        <v>23.17</v>
      </c>
      <c r="G127" s="3" t="n">
        <v>14.2</v>
      </c>
      <c r="H127" s="3" t="n">
        <v>27.23</v>
      </c>
      <c r="I127" s="3" t="n">
        <v>12.63</v>
      </c>
      <c r="J127" s="3" t="n">
        <v>109.1</v>
      </c>
    </row>
    <row r="128">
      <c r="A128" s="8" t="n">
        <v>44610</v>
      </c>
      <c r="B128" s="3" t="n">
        <v>15.21</v>
      </c>
      <c r="C128" s="3" t="n">
        <v>29.81</v>
      </c>
      <c r="D128" s="3" t="n">
        <v>85.83</v>
      </c>
      <c r="E128" s="3" t="n">
        <v>14.77</v>
      </c>
      <c r="F128" s="3" t="n">
        <v>23.18</v>
      </c>
      <c r="G128" s="3" t="n">
        <v>14.27</v>
      </c>
      <c r="H128" s="3" t="n">
        <v>27.6</v>
      </c>
      <c r="I128" s="3" t="n">
        <v>12.2</v>
      </c>
      <c r="J128" s="3" t="n">
        <v>108.51</v>
      </c>
    </row>
    <row r="129">
      <c r="A129" s="8" t="n">
        <v>44613</v>
      </c>
      <c r="B129" s="3" t="n">
        <v>15.27</v>
      </c>
      <c r="C129" s="3" t="n">
        <v>29.52</v>
      </c>
      <c r="D129" s="3" t="n">
        <v>85.90000000000001</v>
      </c>
      <c r="E129" s="3" t="n">
        <v>14.45</v>
      </c>
      <c r="F129" s="3" t="n">
        <v>23.12</v>
      </c>
      <c r="G129" s="3" t="n">
        <v>14.07</v>
      </c>
      <c r="H129" s="3" t="n">
        <v>26.37</v>
      </c>
      <c r="I129" s="3" t="n">
        <v>12</v>
      </c>
      <c r="J129" s="3" t="n">
        <v>107.45</v>
      </c>
    </row>
    <row r="130">
      <c r="A130" s="8" t="n">
        <v>44614</v>
      </c>
      <c r="B130" s="3" t="n">
        <v>15.88</v>
      </c>
      <c r="C130" s="3" t="n">
        <v>29.53</v>
      </c>
      <c r="D130" s="3" t="n">
        <v>87.39</v>
      </c>
      <c r="E130" s="3" t="n">
        <v>14.71</v>
      </c>
      <c r="F130" s="3" t="n">
        <v>23.16</v>
      </c>
      <c r="G130" s="3" t="n">
        <v>14.39</v>
      </c>
      <c r="H130" s="3" t="n">
        <v>25.93</v>
      </c>
      <c r="I130" s="3" t="n">
        <v>12.41</v>
      </c>
      <c r="J130" s="3" t="n">
        <v>109</v>
      </c>
    </row>
    <row r="131">
      <c r="A131" s="8" t="n">
        <v>44615</v>
      </c>
      <c r="B131" s="3" t="n">
        <v>15.75</v>
      </c>
      <c r="C131" s="3" t="n">
        <v>28.6</v>
      </c>
      <c r="D131" s="3" t="n">
        <v>86.47</v>
      </c>
      <c r="E131" s="3" t="n">
        <v>14.81</v>
      </c>
      <c r="F131" s="3" t="n">
        <v>23.01</v>
      </c>
      <c r="G131" s="3" t="n">
        <v>14.59</v>
      </c>
      <c r="H131" s="3" t="n">
        <v>25.7</v>
      </c>
      <c r="I131" s="3" t="n">
        <v>12.1</v>
      </c>
      <c r="J131" s="3" t="n">
        <v>107.58</v>
      </c>
    </row>
    <row r="132">
      <c r="A132" s="8" t="n">
        <v>44616</v>
      </c>
      <c r="B132" s="3" t="n">
        <v>16.11</v>
      </c>
      <c r="C132" s="3" t="n">
        <v>29.32</v>
      </c>
      <c r="D132" s="3" t="n">
        <v>87.54000000000001</v>
      </c>
      <c r="E132" s="3" t="n">
        <v>14.84</v>
      </c>
      <c r="F132" s="3" t="n">
        <v>22.9</v>
      </c>
      <c r="G132" s="3" t="n">
        <v>14.7</v>
      </c>
      <c r="H132" s="3" t="n">
        <v>25.51</v>
      </c>
      <c r="I132" s="3" t="n">
        <v>12.05</v>
      </c>
      <c r="J132" s="3" t="n">
        <v>107.48</v>
      </c>
    </row>
    <row r="133">
      <c r="A133" s="8" t="n">
        <v>44617</v>
      </c>
      <c r="B133" s="3" t="n">
        <v>15.5</v>
      </c>
      <c r="C133" s="3" t="n">
        <v>29.4</v>
      </c>
      <c r="D133" s="3" t="n">
        <v>92.28</v>
      </c>
      <c r="E133" s="3" t="n">
        <v>15.2</v>
      </c>
      <c r="F133" s="3" t="n">
        <v>23.04</v>
      </c>
      <c r="G133" s="3" t="n">
        <v>14.58</v>
      </c>
      <c r="H133" s="3" t="n">
        <v>25.32</v>
      </c>
      <c r="I133" s="3" t="n">
        <v>12.13</v>
      </c>
      <c r="J133" s="3" t="n">
        <v>108.9</v>
      </c>
    </row>
    <row r="134">
      <c r="A134" s="8" t="n">
        <v>44622</v>
      </c>
      <c r="B134" s="3" t="n">
        <v>15.64</v>
      </c>
      <c r="C134" s="3" t="n">
        <v>30.25</v>
      </c>
      <c r="D134" s="3" t="n">
        <v>99.65000000000001</v>
      </c>
      <c r="E134" s="3" t="n">
        <v>14.52</v>
      </c>
      <c r="F134" s="3" t="n">
        <v>23.09</v>
      </c>
      <c r="G134" s="3" t="n">
        <v>14.32</v>
      </c>
      <c r="H134" s="3" t="n">
        <v>25.24</v>
      </c>
      <c r="I134" s="3" t="n">
        <v>12.65</v>
      </c>
      <c r="J134" s="3" t="n">
        <v>111.1</v>
      </c>
    </row>
    <row r="135">
      <c r="A135" s="8" t="n">
        <v>44623</v>
      </c>
      <c r="B135" s="3" t="n">
        <v>15.57</v>
      </c>
      <c r="C135" s="3" t="n">
        <v>31.25</v>
      </c>
      <c r="D135" s="3" t="n">
        <v>99.7</v>
      </c>
      <c r="E135" s="3" t="n">
        <v>14.18</v>
      </c>
      <c r="F135" s="3" t="n">
        <v>23.07</v>
      </c>
      <c r="G135" s="3" t="n">
        <v>14.77</v>
      </c>
      <c r="H135" s="3" t="n">
        <v>24.76</v>
      </c>
      <c r="I135" s="3" t="n">
        <v>12.29</v>
      </c>
      <c r="J135" s="3" t="n">
        <v>111.02</v>
      </c>
    </row>
    <row r="136">
      <c r="A136" s="8" t="n">
        <v>44624</v>
      </c>
      <c r="B136" s="3" t="n">
        <v>15.25</v>
      </c>
      <c r="C136" s="3" t="n">
        <v>31.51</v>
      </c>
      <c r="D136" s="3" t="n">
        <v>101.97</v>
      </c>
      <c r="E136" s="3" t="n">
        <v>13.93</v>
      </c>
      <c r="F136" s="3" t="n">
        <v>22.54</v>
      </c>
      <c r="G136" s="3" t="n">
        <v>14.44</v>
      </c>
      <c r="H136" s="3" t="n">
        <v>24.13</v>
      </c>
      <c r="I136" s="3" t="n">
        <v>11.98</v>
      </c>
      <c r="J136" s="3" t="n">
        <v>110.4</v>
      </c>
    </row>
    <row r="137">
      <c r="A137" s="8" t="n">
        <v>44627</v>
      </c>
      <c r="B137" s="3" t="n">
        <v>15.55</v>
      </c>
      <c r="C137" s="3" t="n">
        <v>31.08</v>
      </c>
      <c r="D137" s="3" t="n">
        <v>105.07</v>
      </c>
      <c r="E137" s="3" t="n">
        <v>13.43</v>
      </c>
      <c r="F137" s="3" t="n">
        <v>22.1</v>
      </c>
      <c r="G137" s="3" t="n">
        <v>13.9</v>
      </c>
      <c r="H137" s="3" t="n">
        <v>21.98</v>
      </c>
      <c r="I137" s="3" t="n">
        <v>11.81</v>
      </c>
      <c r="J137" s="3" t="n">
        <v>107.11</v>
      </c>
    </row>
    <row r="138">
      <c r="A138" s="8" t="n">
        <v>44628</v>
      </c>
      <c r="B138" s="3" t="n">
        <v>16.15</v>
      </c>
      <c r="C138" s="3" t="n">
        <v>31.57</v>
      </c>
      <c r="D138" s="3" t="n">
        <v>100.46</v>
      </c>
      <c r="E138" s="3" t="n">
        <v>13.44</v>
      </c>
      <c r="F138" s="3" t="n">
        <v>21.88</v>
      </c>
      <c r="G138" s="3" t="n">
        <v>13.62</v>
      </c>
      <c r="H138" s="3" t="n">
        <v>23.38</v>
      </c>
      <c r="I138" s="3" t="n">
        <v>11.74</v>
      </c>
      <c r="J138" s="3" t="n">
        <v>107.29</v>
      </c>
    </row>
    <row r="139">
      <c r="A139" s="8" t="n">
        <v>44629</v>
      </c>
      <c r="B139" s="3" t="n">
        <v>16.47</v>
      </c>
      <c r="C139" s="3" t="n">
        <v>32.67</v>
      </c>
      <c r="D139" s="3" t="n">
        <v>94.19</v>
      </c>
      <c r="E139" s="3" t="n">
        <v>13.93</v>
      </c>
      <c r="F139" s="3" t="n">
        <v>22.39</v>
      </c>
      <c r="G139" s="3" t="n">
        <v>13.8</v>
      </c>
      <c r="H139" s="3" t="n">
        <v>24.46</v>
      </c>
      <c r="I139" s="3" t="n">
        <v>12.23</v>
      </c>
      <c r="J139" s="3" t="n">
        <v>109.78</v>
      </c>
    </row>
    <row r="140">
      <c r="A140" s="8" t="n">
        <v>44630</v>
      </c>
      <c r="B140" s="3" t="n">
        <v>16.26</v>
      </c>
      <c r="C140" s="3" t="n">
        <v>31.72</v>
      </c>
      <c r="D140" s="3" t="n">
        <v>97.3</v>
      </c>
      <c r="E140" s="3" t="n">
        <v>13.38</v>
      </c>
      <c r="F140" s="3" t="n">
        <v>22.57</v>
      </c>
      <c r="G140" s="3" t="n">
        <v>13.31</v>
      </c>
      <c r="H140" s="3" t="n">
        <v>23.74</v>
      </c>
      <c r="I140" s="3" t="n">
        <v>11.96</v>
      </c>
      <c r="J140" s="3" t="n">
        <v>109.4</v>
      </c>
    </row>
    <row r="141">
      <c r="A141" s="8" t="n">
        <v>44631</v>
      </c>
      <c r="B141" s="3" t="n">
        <v>15.56</v>
      </c>
      <c r="C141" s="3" t="n">
        <v>31.39</v>
      </c>
      <c r="D141" s="3" t="n">
        <v>96.79000000000001</v>
      </c>
      <c r="E141" s="3" t="n">
        <v>13.18</v>
      </c>
      <c r="F141" s="3" t="n">
        <v>22.5</v>
      </c>
      <c r="G141" s="3" t="n">
        <v>13.26</v>
      </c>
      <c r="H141" s="3" t="n">
        <v>22.85</v>
      </c>
      <c r="I141" s="3" t="n">
        <v>11.48</v>
      </c>
      <c r="J141" s="3" t="n">
        <v>107.7</v>
      </c>
    </row>
    <row r="142">
      <c r="A142" s="8" t="n">
        <v>44634</v>
      </c>
      <c r="B142" s="3" t="n">
        <v>15.38</v>
      </c>
      <c r="C142" s="3" t="n">
        <v>31.02</v>
      </c>
      <c r="D142" s="3" t="n">
        <v>91.59999999999999</v>
      </c>
      <c r="E142" s="3" t="n">
        <v>13.32</v>
      </c>
      <c r="F142" s="3" t="n">
        <v>22.47</v>
      </c>
      <c r="G142" s="3" t="n">
        <v>13.26</v>
      </c>
      <c r="H142" s="3" t="n">
        <v>22.3</v>
      </c>
      <c r="I142" s="3" t="n">
        <v>11.32</v>
      </c>
      <c r="J142" s="3" t="n">
        <v>106.04</v>
      </c>
    </row>
    <row r="143">
      <c r="A143" s="8" t="n">
        <v>44635</v>
      </c>
      <c r="B143" s="3" t="n">
        <v>15.25</v>
      </c>
      <c r="C143" s="3" t="n">
        <v>30.2</v>
      </c>
      <c r="D143" s="3" t="n">
        <v>88.97</v>
      </c>
      <c r="E143" s="3" t="n">
        <v>13.47</v>
      </c>
      <c r="F143" s="3" t="n">
        <v>22.46</v>
      </c>
      <c r="G143" s="3" t="n">
        <v>13.3</v>
      </c>
      <c r="H143" s="3" t="n">
        <v>22.38</v>
      </c>
      <c r="I143" s="3" t="n">
        <v>11.27</v>
      </c>
      <c r="J143" s="3" t="n">
        <v>104.9</v>
      </c>
    </row>
    <row r="144">
      <c r="A144" s="8" t="n">
        <v>44636</v>
      </c>
      <c r="B144" s="3" t="n">
        <v>15.71</v>
      </c>
      <c r="C144" s="3" t="n">
        <v>31.98</v>
      </c>
      <c r="D144" s="3" t="n">
        <v>91.13</v>
      </c>
      <c r="E144" s="3" t="n">
        <v>13.78</v>
      </c>
      <c r="F144" s="3" t="n">
        <v>22.8</v>
      </c>
      <c r="G144" s="3" t="n">
        <v>13.6</v>
      </c>
      <c r="H144" s="3" t="n">
        <v>22.8</v>
      </c>
      <c r="I144" s="3" t="n">
        <v>12.02</v>
      </c>
      <c r="J144" s="3" t="n">
        <v>107.14</v>
      </c>
    </row>
    <row r="145">
      <c r="A145" s="8" t="n">
        <v>44637</v>
      </c>
      <c r="B145" s="3" t="n">
        <v>16.58</v>
      </c>
      <c r="C145" s="3" t="n">
        <v>33.1</v>
      </c>
      <c r="D145" s="3" t="n">
        <v>94.3</v>
      </c>
      <c r="E145" s="3" t="n">
        <v>13.93</v>
      </c>
      <c r="F145" s="3" t="n">
        <v>23.3</v>
      </c>
      <c r="G145" s="3" t="n">
        <v>13.9</v>
      </c>
      <c r="H145" s="3" t="n">
        <v>22.9</v>
      </c>
      <c r="I145" s="3" t="n">
        <v>11.87</v>
      </c>
      <c r="J145" s="3" t="n">
        <v>108.83</v>
      </c>
    </row>
    <row r="146">
      <c r="A146" s="8" t="n">
        <v>44638</v>
      </c>
      <c r="B146" s="3" t="n">
        <v>17.67</v>
      </c>
      <c r="C146" s="3" t="n">
        <v>33.29</v>
      </c>
      <c r="D146" s="3" t="n">
        <v>96.09</v>
      </c>
      <c r="E146" s="3" t="n">
        <v>14.25</v>
      </c>
      <c r="F146" s="3" t="n">
        <v>23.34</v>
      </c>
      <c r="G146" s="3" t="n">
        <v>14.11</v>
      </c>
      <c r="H146" s="3" t="n">
        <v>24.15</v>
      </c>
      <c r="I146" s="3" t="n">
        <v>11.9</v>
      </c>
      <c r="J146" s="3" t="n">
        <v>110.73</v>
      </c>
    </row>
    <row r="147">
      <c r="A147" s="8" t="n">
        <v>44641</v>
      </c>
      <c r="B147" s="3" t="n">
        <v>17.2</v>
      </c>
      <c r="C147" s="3" t="n">
        <v>32.55</v>
      </c>
      <c r="D147" s="3" t="n">
        <v>98.81</v>
      </c>
      <c r="E147" s="3" t="n">
        <v>14.18</v>
      </c>
      <c r="F147" s="3" t="n">
        <v>23.64</v>
      </c>
      <c r="G147" s="3" t="n">
        <v>13.88</v>
      </c>
      <c r="H147" s="3" t="n">
        <v>24.04</v>
      </c>
      <c r="I147" s="3" t="n">
        <v>11.71</v>
      </c>
      <c r="J147" s="3" t="n">
        <v>111.94</v>
      </c>
    </row>
    <row r="148">
      <c r="A148" s="8" t="n">
        <v>44642</v>
      </c>
      <c r="B148" s="3" t="n">
        <v>17.56</v>
      </c>
      <c r="C148" s="3" t="n">
        <v>33</v>
      </c>
      <c r="D148" s="3" t="n">
        <v>96.59999999999999</v>
      </c>
      <c r="E148" s="3" t="n">
        <v>14.38</v>
      </c>
      <c r="F148" s="3" t="n">
        <v>24.08</v>
      </c>
      <c r="G148" s="3" t="n">
        <v>14.63</v>
      </c>
      <c r="H148" s="3" t="n">
        <v>24.9</v>
      </c>
      <c r="I148" s="3" t="n">
        <v>11.9</v>
      </c>
      <c r="J148" s="3" t="n">
        <v>113.1</v>
      </c>
    </row>
    <row r="149">
      <c r="A149" s="8" t="n">
        <v>44643</v>
      </c>
      <c r="B149" s="3" t="n">
        <v>17.62</v>
      </c>
      <c r="C149" s="3" t="n">
        <v>32.75</v>
      </c>
      <c r="D149" s="3" t="n">
        <v>96.39</v>
      </c>
      <c r="E149" s="3" t="n">
        <v>14.19</v>
      </c>
      <c r="F149" s="3" t="n">
        <v>24.05</v>
      </c>
      <c r="G149" s="3" t="n">
        <v>14.76</v>
      </c>
      <c r="H149" s="3" t="n">
        <v>26.15</v>
      </c>
      <c r="I149" s="3" t="n">
        <v>11.98</v>
      </c>
      <c r="J149" s="3" t="n">
        <v>112.9</v>
      </c>
    </row>
    <row r="150">
      <c r="A150" s="8" t="n">
        <v>44644</v>
      </c>
      <c r="B150" s="3" t="n">
        <v>18.18</v>
      </c>
      <c r="C150" s="3" t="n">
        <v>33.13</v>
      </c>
      <c r="D150" s="3" t="n">
        <v>96.91</v>
      </c>
      <c r="E150" s="3" t="n">
        <v>14.2</v>
      </c>
      <c r="F150" s="3" t="n">
        <v>24.4</v>
      </c>
      <c r="G150" s="3" t="n">
        <v>14.89</v>
      </c>
      <c r="H150" s="3" t="n">
        <v>27.65</v>
      </c>
      <c r="I150" s="3" t="n">
        <v>11.37</v>
      </c>
      <c r="J150" s="3" t="n">
        <v>114.74</v>
      </c>
    </row>
    <row r="151">
      <c r="A151" s="8" t="n">
        <v>44645</v>
      </c>
      <c r="B151" s="3" t="n">
        <v>18.41</v>
      </c>
      <c r="C151" s="3" t="n">
        <v>32.88</v>
      </c>
      <c r="D151" s="3" t="n">
        <v>95.23</v>
      </c>
      <c r="E151" s="3" t="n">
        <v>14.32</v>
      </c>
      <c r="F151" s="3" t="n">
        <v>24.45</v>
      </c>
      <c r="G151" s="3" t="n">
        <v>15.14</v>
      </c>
      <c r="H151" s="3" t="n">
        <v>27.58</v>
      </c>
      <c r="I151" s="3" t="n">
        <v>11.86</v>
      </c>
      <c r="J151" s="3" t="n">
        <v>114.75</v>
      </c>
    </row>
    <row r="152">
      <c r="A152" s="8" t="n">
        <v>44648</v>
      </c>
      <c r="B152" s="3" t="n">
        <v>18.72</v>
      </c>
      <c r="C152" s="3" t="n">
        <v>33.6</v>
      </c>
      <c r="D152" s="3" t="n">
        <v>95.34</v>
      </c>
      <c r="E152" s="3" t="n">
        <v>14.74</v>
      </c>
      <c r="F152" s="3" t="n">
        <v>24.59</v>
      </c>
      <c r="G152" s="3" t="n">
        <v>15.09</v>
      </c>
      <c r="H152" s="3" t="n">
        <v>26.92</v>
      </c>
      <c r="I152" s="3" t="n">
        <v>11.69</v>
      </c>
      <c r="J152" s="3" t="n">
        <v>114.51</v>
      </c>
    </row>
    <row r="153">
      <c r="A153" s="8" t="n">
        <v>44649</v>
      </c>
      <c r="B153" s="3" t="n">
        <v>18.48</v>
      </c>
      <c r="C153" s="3" t="n">
        <v>33.95</v>
      </c>
      <c r="D153" s="3" t="n">
        <v>94.52</v>
      </c>
      <c r="E153" s="3" t="n">
        <v>15.25</v>
      </c>
      <c r="F153" s="3" t="n">
        <v>24.8</v>
      </c>
      <c r="G153" s="3" t="n">
        <v>15.54</v>
      </c>
      <c r="H153" s="3" t="n">
        <v>27.49</v>
      </c>
      <c r="I153" s="3" t="n">
        <v>12.2</v>
      </c>
      <c r="J153" s="3" t="n">
        <v>115.75</v>
      </c>
    </row>
    <row r="154">
      <c r="A154" s="8" t="n">
        <v>44650</v>
      </c>
      <c r="B154" s="3" t="n">
        <v>18.42</v>
      </c>
      <c r="C154" s="3" t="n">
        <v>34.15</v>
      </c>
      <c r="D154" s="3" t="n">
        <v>95.87</v>
      </c>
      <c r="E154" s="3" t="n">
        <v>15.17</v>
      </c>
      <c r="F154" s="3" t="n">
        <v>24.9</v>
      </c>
      <c r="G154" s="3" t="n">
        <v>15.67</v>
      </c>
      <c r="H154" s="3" t="n">
        <v>27.34</v>
      </c>
      <c r="I154" s="3" t="n">
        <v>12.02</v>
      </c>
      <c r="J154" s="3" t="n">
        <v>115.9</v>
      </c>
    </row>
    <row r="155">
      <c r="A155" s="8" t="n">
        <v>44651</v>
      </c>
      <c r="B155" s="3" t="n">
        <v>18.55</v>
      </c>
      <c r="C155" s="3" t="n">
        <v>34.87</v>
      </c>
      <c r="D155" s="3" t="n">
        <v>95.59999999999999</v>
      </c>
      <c r="E155" s="3" t="n">
        <v>15.4</v>
      </c>
      <c r="F155" s="3" t="n">
        <v>25.56</v>
      </c>
      <c r="G155" s="3" t="n">
        <v>15.71</v>
      </c>
      <c r="H155" s="3" t="n">
        <v>27.5</v>
      </c>
      <c r="I155" s="3" t="n">
        <v>11.84</v>
      </c>
      <c r="J155" s="3" t="n">
        <v>115.6</v>
      </c>
    </row>
    <row r="156">
      <c r="A156" s="8" t="n">
        <v>44652</v>
      </c>
      <c r="B156" s="3" t="n">
        <v>19</v>
      </c>
      <c r="C156" s="3" t="n">
        <v>35.38</v>
      </c>
      <c r="D156" s="3" t="n">
        <v>96.95999999999999</v>
      </c>
      <c r="E156" s="3" t="n">
        <v>15.39</v>
      </c>
      <c r="F156" s="3" t="n">
        <v>25.91</v>
      </c>
      <c r="G156" s="3" t="n">
        <v>16.04</v>
      </c>
      <c r="H156" s="3" t="n">
        <v>29.06</v>
      </c>
      <c r="I156" s="3" t="n">
        <v>12.35</v>
      </c>
      <c r="J156" s="3" t="n">
        <v>117.2</v>
      </c>
    </row>
    <row r="157">
      <c r="A157" s="8" t="n">
        <v>44655</v>
      </c>
      <c r="B157" s="3" t="n">
        <v>18.88</v>
      </c>
      <c r="C157" s="3" t="n">
        <v>35.02</v>
      </c>
      <c r="D157" s="3" t="n">
        <v>97.94</v>
      </c>
      <c r="E157" s="3" t="n">
        <v>15.19</v>
      </c>
      <c r="F157" s="3" t="n">
        <v>25.8</v>
      </c>
      <c r="G157" s="3" t="n">
        <v>16.14</v>
      </c>
      <c r="H157" s="3" t="n">
        <v>29.39</v>
      </c>
      <c r="I157" s="3" t="n">
        <v>12.33</v>
      </c>
      <c r="J157" s="3" t="n">
        <v>116.8</v>
      </c>
    </row>
    <row r="158">
      <c r="A158" s="8" t="n">
        <v>44656</v>
      </c>
      <c r="B158" s="3" t="n">
        <v>18.52</v>
      </c>
      <c r="C158" s="3" t="n">
        <v>34.63</v>
      </c>
      <c r="D158" s="3" t="n">
        <v>95.11</v>
      </c>
      <c r="E158" s="3" t="n">
        <v>15.07</v>
      </c>
      <c r="F158" s="3" t="n">
        <v>25.52</v>
      </c>
      <c r="G158" s="3" t="n">
        <v>15.83</v>
      </c>
      <c r="H158" s="3" t="n">
        <v>27.96</v>
      </c>
      <c r="I158" s="3" t="n">
        <v>12.05</v>
      </c>
      <c r="J158" s="3" t="n">
        <v>114.51</v>
      </c>
    </row>
    <row r="159">
      <c r="A159" s="8" t="n">
        <v>44657</v>
      </c>
      <c r="B159" s="3" t="n">
        <v>18.1</v>
      </c>
      <c r="C159" s="3" t="n">
        <v>34.33</v>
      </c>
      <c r="D159" s="3" t="n">
        <v>96.55</v>
      </c>
      <c r="E159" s="3" t="n">
        <v>14.95</v>
      </c>
      <c r="F159" s="3" t="n">
        <v>25.76</v>
      </c>
      <c r="G159" s="3" t="n">
        <v>15.87</v>
      </c>
      <c r="H159" s="3" t="n">
        <v>27.05</v>
      </c>
      <c r="I159" s="3" t="n">
        <v>11.46</v>
      </c>
      <c r="J159" s="3" t="n">
        <v>113.87</v>
      </c>
    </row>
    <row r="160">
      <c r="A160" s="8" t="n">
        <v>44658</v>
      </c>
      <c r="B160" s="3" t="n">
        <v>18.06</v>
      </c>
      <c r="C160" s="3" t="n">
        <v>34.12</v>
      </c>
      <c r="D160" s="3" t="n">
        <v>97.13</v>
      </c>
      <c r="E160" s="3" t="n">
        <v>15.06</v>
      </c>
      <c r="F160" s="3" t="n">
        <v>26</v>
      </c>
      <c r="G160" s="3" t="n">
        <v>15.85</v>
      </c>
      <c r="H160" s="3" t="n">
        <v>26.82</v>
      </c>
      <c r="I160" s="3" t="n">
        <v>11.09</v>
      </c>
      <c r="J160" s="3" t="n">
        <v>114.65</v>
      </c>
    </row>
    <row r="161">
      <c r="A161" s="8" t="n">
        <v>44659</v>
      </c>
      <c r="B161" s="3" t="n">
        <v>18.27</v>
      </c>
      <c r="C161" s="3" t="n">
        <v>34.14</v>
      </c>
      <c r="D161" s="3" t="n">
        <v>95.15000000000001</v>
      </c>
      <c r="E161" s="3" t="n">
        <v>14.93</v>
      </c>
      <c r="F161" s="3" t="n">
        <v>26.2</v>
      </c>
      <c r="G161" s="3" t="n">
        <v>15.6</v>
      </c>
      <c r="H161" s="3" t="n">
        <v>26.73</v>
      </c>
      <c r="I161" s="3" t="n">
        <v>11.01</v>
      </c>
      <c r="J161" s="3" t="n">
        <v>113.98</v>
      </c>
    </row>
    <row r="162">
      <c r="A162" s="8" t="n">
        <v>44662</v>
      </c>
      <c r="B162" s="3" t="n">
        <v>18.25</v>
      </c>
      <c r="C162" s="3" t="n">
        <v>32.55</v>
      </c>
      <c r="D162" s="3" t="n">
        <v>94</v>
      </c>
      <c r="E162" s="3" t="n">
        <v>15.2</v>
      </c>
      <c r="F162" s="3" t="n">
        <v>25.93</v>
      </c>
      <c r="G162" s="3" t="n">
        <v>14.88</v>
      </c>
      <c r="H162" s="3" t="n">
        <v>26.75</v>
      </c>
      <c r="I162" s="3" t="n">
        <v>10.71</v>
      </c>
      <c r="J162" s="3" t="n">
        <v>112.57</v>
      </c>
    </row>
    <row r="163">
      <c r="A163" s="8" t="n">
        <v>44663</v>
      </c>
      <c r="B163" s="3" t="n">
        <v>18.46</v>
      </c>
      <c r="C163" s="3" t="n">
        <v>32.37</v>
      </c>
      <c r="D163" s="3" t="n">
        <v>93.37</v>
      </c>
      <c r="E163" s="3" t="n">
        <v>15.05</v>
      </c>
      <c r="F163" s="3" t="n">
        <v>25.71</v>
      </c>
      <c r="G163" s="3" t="n">
        <v>14.35</v>
      </c>
      <c r="H163" s="3" t="n">
        <v>26.2</v>
      </c>
      <c r="I163" s="3" t="n">
        <v>10.64</v>
      </c>
      <c r="J163" s="3" t="n">
        <v>111.77</v>
      </c>
    </row>
    <row r="164">
      <c r="A164" s="8" t="n">
        <v>44664</v>
      </c>
      <c r="B164" s="3" t="n">
        <v>18.54</v>
      </c>
      <c r="C164" s="3" t="n">
        <v>32.56</v>
      </c>
      <c r="D164" s="3" t="n">
        <v>93.40000000000001</v>
      </c>
      <c r="E164" s="3" t="n">
        <v>14.83</v>
      </c>
      <c r="F164" s="3" t="n">
        <v>25.94</v>
      </c>
      <c r="G164" s="3" t="n">
        <v>14.41</v>
      </c>
      <c r="H164" s="3" t="n">
        <v>26.67</v>
      </c>
      <c r="I164" s="3" t="n">
        <v>10.42</v>
      </c>
      <c r="J164" s="3" t="n">
        <v>112.52</v>
      </c>
    </row>
    <row r="165">
      <c r="A165" s="8" t="n">
        <v>44665</v>
      </c>
      <c r="B165" s="3" t="n">
        <v>18.4</v>
      </c>
      <c r="C165" s="3" t="n">
        <v>32.29</v>
      </c>
      <c r="D165" s="3" t="n">
        <v>92.09</v>
      </c>
      <c r="E165" s="3" t="n">
        <v>14.7</v>
      </c>
      <c r="F165" s="3" t="n">
        <v>26.16</v>
      </c>
      <c r="G165" s="3" t="n">
        <v>14.49</v>
      </c>
      <c r="H165" s="3" t="n">
        <v>26.74</v>
      </c>
      <c r="I165" s="3" t="n">
        <v>10.4</v>
      </c>
      <c r="J165" s="3" t="n">
        <v>111.65</v>
      </c>
    </row>
    <row r="166">
      <c r="A166" s="8" t="n">
        <v>44669</v>
      </c>
      <c r="B166" s="3" t="n">
        <v>18.05</v>
      </c>
      <c r="C166" s="3" t="n">
        <v>31.91</v>
      </c>
      <c r="D166" s="3" t="n">
        <v>90.56999999999999</v>
      </c>
      <c r="E166" s="3" t="n">
        <v>14.71</v>
      </c>
      <c r="F166" s="3" t="n">
        <v>26.78</v>
      </c>
      <c r="G166" s="3" t="n">
        <v>14.52</v>
      </c>
      <c r="H166" s="3" t="n">
        <v>26.43</v>
      </c>
      <c r="I166" s="3" t="n">
        <v>10.38</v>
      </c>
      <c r="J166" s="3" t="n">
        <v>111.46</v>
      </c>
    </row>
    <row r="167">
      <c r="A167" s="8" t="n">
        <v>44670</v>
      </c>
      <c r="B167" s="3" t="n">
        <v>18</v>
      </c>
      <c r="C167" s="3" t="n">
        <v>31.37</v>
      </c>
      <c r="D167" s="3" t="n">
        <v>87.68000000000001</v>
      </c>
      <c r="E167" s="3" t="n">
        <v>14.65</v>
      </c>
      <c r="F167" s="3" t="n">
        <v>26.02</v>
      </c>
      <c r="G167" s="3" t="n">
        <v>14.54</v>
      </c>
      <c r="H167" s="3" t="n">
        <v>26.25</v>
      </c>
      <c r="I167" s="3" t="n">
        <v>10.6</v>
      </c>
      <c r="J167" s="3" t="n">
        <v>110.92</v>
      </c>
    </row>
    <row r="168">
      <c r="A168" s="8" t="n">
        <v>44671</v>
      </c>
      <c r="B168" s="3" t="n">
        <v>18.83</v>
      </c>
      <c r="C168" s="3" t="n">
        <v>31.42</v>
      </c>
      <c r="D168" s="3" t="n">
        <v>85.40000000000001</v>
      </c>
      <c r="E168" s="3" t="n">
        <v>14.73</v>
      </c>
      <c r="F168" s="3" t="n">
        <v>26.76</v>
      </c>
      <c r="G168" s="3" t="n">
        <v>14.69</v>
      </c>
      <c r="H168" s="3" t="n">
        <v>25.98</v>
      </c>
      <c r="I168" s="3" t="n">
        <v>10.5</v>
      </c>
      <c r="J168" s="3" t="n">
        <v>110.05</v>
      </c>
    </row>
    <row r="169">
      <c r="A169" s="8" t="n">
        <v>44673</v>
      </c>
      <c r="B169" s="3" t="n">
        <v>18.29</v>
      </c>
      <c r="C169" s="3" t="n">
        <v>31.31</v>
      </c>
      <c r="D169" s="3" t="n">
        <v>80.45</v>
      </c>
      <c r="E169" s="3" t="n">
        <v>14.75</v>
      </c>
      <c r="F169" s="3" t="n">
        <v>26.39</v>
      </c>
      <c r="G169" s="3" t="n">
        <v>14.36</v>
      </c>
      <c r="H169" s="3" t="n">
        <v>25.02</v>
      </c>
      <c r="I169" s="3" t="n">
        <v>10.13</v>
      </c>
      <c r="J169" s="3" t="n">
        <v>106.75</v>
      </c>
    </row>
    <row r="170">
      <c r="A170" s="8" t="n">
        <v>44676</v>
      </c>
      <c r="B170" s="3" t="n">
        <v>18.13</v>
      </c>
      <c r="C170" s="3" t="n">
        <v>31.21</v>
      </c>
      <c r="D170" s="3" t="n">
        <v>79.08</v>
      </c>
      <c r="E170" s="3" t="n">
        <v>15.12</v>
      </c>
      <c r="F170" s="3" t="n">
        <v>26.37</v>
      </c>
      <c r="G170" s="3" t="n">
        <v>14.12</v>
      </c>
      <c r="H170" s="3" t="n">
        <v>25</v>
      </c>
      <c r="I170" s="3" t="n">
        <v>10.16</v>
      </c>
      <c r="J170" s="3" t="n">
        <v>106.76</v>
      </c>
    </row>
    <row r="171">
      <c r="A171" s="8" t="n">
        <v>44677</v>
      </c>
      <c r="B171" s="3" t="n">
        <v>17.8</v>
      </c>
      <c r="C171" s="3" t="n">
        <v>29.98</v>
      </c>
      <c r="D171" s="3" t="n">
        <v>78</v>
      </c>
      <c r="E171" s="3" t="n">
        <v>14.75</v>
      </c>
      <c r="F171" s="3" t="n">
        <v>26.07</v>
      </c>
      <c r="G171" s="3" t="n">
        <v>13.61</v>
      </c>
      <c r="H171" s="3" t="n">
        <v>24.46</v>
      </c>
      <c r="I171" s="3" t="n">
        <v>9.93</v>
      </c>
      <c r="J171" s="3" t="n">
        <v>104.28</v>
      </c>
    </row>
    <row r="172">
      <c r="A172" s="8" t="n">
        <v>44678</v>
      </c>
      <c r="B172" s="3" t="n">
        <v>17.67</v>
      </c>
      <c r="C172" s="3" t="n">
        <v>31.63</v>
      </c>
      <c r="D172" s="3" t="n">
        <v>82.17</v>
      </c>
      <c r="E172" s="3" t="n">
        <v>14.68</v>
      </c>
      <c r="F172" s="3" t="n">
        <v>26.08</v>
      </c>
      <c r="G172" s="3" t="n">
        <v>13.51</v>
      </c>
      <c r="H172" s="3" t="n">
        <v>24.53</v>
      </c>
      <c r="I172" s="3" t="n">
        <v>9.35</v>
      </c>
      <c r="J172" s="3" t="n">
        <v>105.52</v>
      </c>
    </row>
    <row r="173">
      <c r="A173" s="8" t="n">
        <v>44679</v>
      </c>
      <c r="B173" s="3" t="n">
        <v>17.38</v>
      </c>
      <c r="C173" s="3" t="n">
        <v>31.13</v>
      </c>
      <c r="D173" s="3" t="n">
        <v>84.2</v>
      </c>
      <c r="E173" s="3" t="n">
        <v>14.71</v>
      </c>
      <c r="F173" s="3" t="n">
        <v>25.89</v>
      </c>
      <c r="G173" s="3" t="n">
        <v>13.58</v>
      </c>
      <c r="H173" s="3" t="n">
        <v>24.39</v>
      </c>
      <c r="I173" s="3" t="n">
        <v>9.18</v>
      </c>
      <c r="J173" s="3" t="n">
        <v>105.86</v>
      </c>
    </row>
    <row r="174">
      <c r="A174" s="8" t="n">
        <v>44680</v>
      </c>
      <c r="B174" s="3" t="n">
        <v>16.37</v>
      </c>
      <c r="C174" s="3" t="n">
        <v>30.1</v>
      </c>
      <c r="D174" s="3" t="n">
        <v>83.29000000000001</v>
      </c>
      <c r="E174" s="3" t="n">
        <v>14.52</v>
      </c>
      <c r="F174" s="3" t="n">
        <v>25.43</v>
      </c>
      <c r="G174" s="3" t="n">
        <v>13.3</v>
      </c>
      <c r="H174" s="3" t="n">
        <v>23.75</v>
      </c>
      <c r="I174" s="3" t="n">
        <v>8.77</v>
      </c>
      <c r="J174" s="3" t="n">
        <v>103.4</v>
      </c>
    </row>
    <row r="175">
      <c r="A175" s="8" t="n">
        <v>44683</v>
      </c>
      <c r="B175" s="3" t="n">
        <v>15.82</v>
      </c>
      <c r="C175" s="3" t="n">
        <v>28.94</v>
      </c>
      <c r="D175" s="3" t="n">
        <v>82.92</v>
      </c>
      <c r="E175" s="3" t="n">
        <v>14.47</v>
      </c>
      <c r="F175" s="3" t="n">
        <v>24.95</v>
      </c>
      <c r="G175" s="3" t="n">
        <v>12.8</v>
      </c>
      <c r="H175" s="3" t="n">
        <v>23.9</v>
      </c>
      <c r="I175" s="3" t="n">
        <v>8.81</v>
      </c>
      <c r="J175" s="3" t="n">
        <v>102.72</v>
      </c>
    </row>
    <row r="176">
      <c r="A176" s="8" t="n">
        <v>44684</v>
      </c>
      <c r="B176" s="3" t="n">
        <v>15.96</v>
      </c>
      <c r="C176" s="3" t="n">
        <v>28.41</v>
      </c>
      <c r="D176" s="3" t="n">
        <v>82.5</v>
      </c>
      <c r="E176" s="3" t="n">
        <v>14.24</v>
      </c>
      <c r="F176" s="3" t="n">
        <v>25.12</v>
      </c>
      <c r="G176" s="3" t="n">
        <v>12.55</v>
      </c>
      <c r="H176" s="3" t="n">
        <v>23.52</v>
      </c>
      <c r="I176" s="3" t="n">
        <v>8.84</v>
      </c>
      <c r="J176" s="3" t="n">
        <v>102.72</v>
      </c>
    </row>
    <row r="177">
      <c r="A177" s="8" t="n">
        <v>44685</v>
      </c>
      <c r="B177" s="3" t="n">
        <v>16.2</v>
      </c>
      <c r="C177" s="3" t="n">
        <v>28.94</v>
      </c>
      <c r="D177" s="3" t="n">
        <v>81.81</v>
      </c>
      <c r="E177" s="3" t="n">
        <v>14.34</v>
      </c>
      <c r="F177" s="3" t="n">
        <v>25.62</v>
      </c>
      <c r="G177" s="3" t="n">
        <v>12.65</v>
      </c>
      <c r="H177" s="3" t="n">
        <v>24.26</v>
      </c>
      <c r="I177" s="3" t="n">
        <v>8.83</v>
      </c>
      <c r="J177" s="3" t="n">
        <v>104.38</v>
      </c>
    </row>
    <row r="178">
      <c r="A178" s="8" t="n">
        <v>44686</v>
      </c>
      <c r="B178" s="3" t="n">
        <v>15.69</v>
      </c>
      <c r="C178" s="3" t="n">
        <v>28.16</v>
      </c>
      <c r="D178" s="3" t="n">
        <v>80.33</v>
      </c>
      <c r="E178" s="3" t="n">
        <v>13.73</v>
      </c>
      <c r="F178" s="3" t="n">
        <v>25.03</v>
      </c>
      <c r="G178" s="3" t="n">
        <v>12.12</v>
      </c>
      <c r="H178" s="3" t="n">
        <v>22.87</v>
      </c>
      <c r="I178" s="3" t="n">
        <v>8.15</v>
      </c>
      <c r="J178" s="3" t="n">
        <v>101.5</v>
      </c>
    </row>
    <row r="179">
      <c r="A179" s="8" t="n">
        <v>44687</v>
      </c>
      <c r="B179" s="3" t="n">
        <v>15.35</v>
      </c>
      <c r="C179" s="3" t="n">
        <v>27.15</v>
      </c>
      <c r="D179" s="3" t="n">
        <v>79.76000000000001</v>
      </c>
      <c r="E179" s="3" t="n">
        <v>13.53</v>
      </c>
      <c r="F179" s="3" t="n">
        <v>25.03</v>
      </c>
      <c r="G179" s="3" t="n">
        <v>11.77</v>
      </c>
      <c r="H179" s="3" t="n">
        <v>24.24</v>
      </c>
      <c r="I179" s="3" t="n">
        <v>8.289999999999999</v>
      </c>
      <c r="J179" s="3" t="n">
        <v>101.23</v>
      </c>
    </row>
    <row r="180">
      <c r="A180" s="8" t="n">
        <v>44690</v>
      </c>
      <c r="B180" s="3" t="n">
        <v>15.45</v>
      </c>
      <c r="C180" s="3" t="n">
        <v>26.66</v>
      </c>
      <c r="D180" s="3" t="n">
        <v>76.48999999999999</v>
      </c>
      <c r="E180" s="3" t="n">
        <v>13.69</v>
      </c>
      <c r="F180" s="3" t="n">
        <v>25.38</v>
      </c>
      <c r="G180" s="3" t="n">
        <v>11.74</v>
      </c>
      <c r="H180" s="3" t="n">
        <v>23.89</v>
      </c>
      <c r="I180" s="3" t="n">
        <v>8.119999999999999</v>
      </c>
      <c r="J180" s="3" t="n">
        <v>99.68000000000001</v>
      </c>
    </row>
    <row r="181">
      <c r="A181" s="8" t="n">
        <v>44691</v>
      </c>
      <c r="B181" s="3" t="n">
        <v>15.31</v>
      </c>
      <c r="C181" s="3" t="n">
        <v>26.12</v>
      </c>
      <c r="D181" s="3" t="n">
        <v>75.54000000000001</v>
      </c>
      <c r="E181" s="3" t="n">
        <v>13.73</v>
      </c>
      <c r="F181" s="3" t="n">
        <v>24.98</v>
      </c>
      <c r="G181" s="3" t="n">
        <v>11.57</v>
      </c>
      <c r="H181" s="3" t="n">
        <v>24.74</v>
      </c>
      <c r="I181" s="3" t="n">
        <v>8.039999999999999</v>
      </c>
      <c r="J181" s="3" t="n">
        <v>99.23999999999999</v>
      </c>
    </row>
    <row r="182">
      <c r="A182" s="8" t="n">
        <v>44692</v>
      </c>
      <c r="B182" s="3" t="n">
        <v>15.36</v>
      </c>
      <c r="C182" s="3" t="n">
        <v>26.1</v>
      </c>
      <c r="D182" s="3" t="n">
        <v>78.69</v>
      </c>
      <c r="E182" s="3" t="n">
        <v>13.95</v>
      </c>
      <c r="F182" s="3" t="n">
        <v>24.79</v>
      </c>
      <c r="G182" s="3" t="n">
        <v>11.29</v>
      </c>
      <c r="H182" s="3" t="n">
        <v>24.53</v>
      </c>
      <c r="I182" s="3" t="n">
        <v>7.56</v>
      </c>
      <c r="J182" s="3" t="n">
        <v>100.64</v>
      </c>
    </row>
    <row r="183">
      <c r="A183" s="8" t="n">
        <v>44693</v>
      </c>
      <c r="B183" s="3" t="n">
        <v>15.27</v>
      </c>
      <c r="C183" s="3" t="n">
        <v>26.41</v>
      </c>
      <c r="D183" s="3" t="n">
        <v>77.90000000000001</v>
      </c>
      <c r="E183" s="3" t="n">
        <v>14.48</v>
      </c>
      <c r="F183" s="3" t="n">
        <v>25.39</v>
      </c>
      <c r="G183" s="3" t="n">
        <v>11.9</v>
      </c>
      <c r="H183" s="3" t="n">
        <v>25.28</v>
      </c>
      <c r="I183" s="3" t="n">
        <v>7.72</v>
      </c>
      <c r="J183" s="3" t="n">
        <v>102.04</v>
      </c>
    </row>
    <row r="184">
      <c r="A184" s="8" t="n">
        <v>44694</v>
      </c>
      <c r="B184" s="3" t="n">
        <v>15.54</v>
      </c>
      <c r="C184" s="3" t="n">
        <v>26.5</v>
      </c>
      <c r="D184" s="3" t="n">
        <v>77.81</v>
      </c>
      <c r="E184" s="3" t="n">
        <v>14.54</v>
      </c>
      <c r="F184" s="3" t="n">
        <v>25.78</v>
      </c>
      <c r="G184" s="3" t="n">
        <v>11.47</v>
      </c>
      <c r="H184" s="3" t="n">
        <v>25.47</v>
      </c>
      <c r="I184" s="3" t="n">
        <v>8.02</v>
      </c>
      <c r="J184" s="3" t="n">
        <v>103.29</v>
      </c>
    </row>
    <row r="185">
      <c r="A185" s="8" t="n">
        <v>44697</v>
      </c>
      <c r="B185" s="3" t="n">
        <v>15.96</v>
      </c>
      <c r="C185" s="3" t="n">
        <v>26.2</v>
      </c>
      <c r="D185" s="3" t="n">
        <v>80.14</v>
      </c>
      <c r="E185" s="3" t="n">
        <v>14.69</v>
      </c>
      <c r="F185" s="3" t="n">
        <v>25.52</v>
      </c>
      <c r="G185" s="3" t="n">
        <v>11.65</v>
      </c>
      <c r="H185" s="3" t="n">
        <v>25.9</v>
      </c>
      <c r="I185" s="3" t="n">
        <v>7.84</v>
      </c>
      <c r="J185" s="3" t="n">
        <v>104.4</v>
      </c>
    </row>
    <row r="186">
      <c r="A186" s="8" t="n">
        <v>44698</v>
      </c>
      <c r="B186" s="3" t="n">
        <v>16.03</v>
      </c>
      <c r="C186" s="3" t="n">
        <v>26.91</v>
      </c>
      <c r="D186" s="3" t="n">
        <v>79.8</v>
      </c>
      <c r="E186" s="3" t="n">
        <v>14.73</v>
      </c>
      <c r="F186" s="3" t="n">
        <v>25.81</v>
      </c>
      <c r="G186" s="3" t="n">
        <v>11.9</v>
      </c>
      <c r="H186" s="3" t="n">
        <v>26.03</v>
      </c>
      <c r="I186" s="3" t="n">
        <v>6.52</v>
      </c>
      <c r="J186" s="3" t="n">
        <v>104.9</v>
      </c>
    </row>
    <row r="187">
      <c r="A187" s="8" t="n">
        <v>44699</v>
      </c>
      <c r="B187" s="3" t="n">
        <v>15.61</v>
      </c>
      <c r="C187" s="3" t="n">
        <v>26.43</v>
      </c>
      <c r="D187" s="3" t="n">
        <v>77.78</v>
      </c>
      <c r="E187" s="3" t="n">
        <v>14.22</v>
      </c>
      <c r="F187" s="3" t="n">
        <v>25.41</v>
      </c>
      <c r="G187" s="3" t="n">
        <v>11.55</v>
      </c>
      <c r="H187" s="3" t="n">
        <v>25.5</v>
      </c>
      <c r="I187" s="3" t="n">
        <v>6.81</v>
      </c>
      <c r="J187" s="3" t="n">
        <v>102.21</v>
      </c>
    </row>
    <row r="188">
      <c r="A188" s="8" t="n">
        <v>44700</v>
      </c>
      <c r="B188" s="3" t="n">
        <v>15.61</v>
      </c>
      <c r="C188" s="3" t="n">
        <v>25.53</v>
      </c>
      <c r="D188" s="3" t="n">
        <v>79.84999999999999</v>
      </c>
      <c r="E188" s="3" t="n">
        <v>14.14</v>
      </c>
      <c r="F188" s="3" t="n">
        <v>25.4</v>
      </c>
      <c r="G188" s="3" t="n">
        <v>11.81</v>
      </c>
      <c r="H188" s="3" t="n">
        <v>25.67</v>
      </c>
      <c r="I188" s="3" t="n">
        <v>6.53</v>
      </c>
      <c r="J188" s="3" t="n">
        <v>103.08</v>
      </c>
    </row>
    <row r="189">
      <c r="A189" s="8" t="n">
        <v>44701</v>
      </c>
      <c r="B189" s="3" t="n">
        <v>15.87</v>
      </c>
      <c r="C189" s="3" t="n">
        <v>25.99</v>
      </c>
      <c r="D189" s="3" t="n">
        <v>81.26000000000001</v>
      </c>
      <c r="E189" s="3" t="n">
        <v>14.02</v>
      </c>
      <c r="F189" s="3" t="n">
        <v>25.47</v>
      </c>
      <c r="G189" s="3" t="n">
        <v>12.04</v>
      </c>
      <c r="H189" s="3" t="n">
        <v>25.65</v>
      </c>
      <c r="I189" s="3" t="n">
        <v>6.63</v>
      </c>
      <c r="J189" s="3" t="n">
        <v>104.66</v>
      </c>
    </row>
    <row r="190">
      <c r="A190" s="8" t="n">
        <v>44704</v>
      </c>
      <c r="B190" s="3" t="n">
        <v>16.08</v>
      </c>
      <c r="C190" s="3" t="n">
        <v>26.57</v>
      </c>
      <c r="D190" s="3" t="n">
        <v>82.92</v>
      </c>
      <c r="E190" s="3" t="n">
        <v>14.08</v>
      </c>
      <c r="F190" s="3" t="n">
        <v>25.58</v>
      </c>
      <c r="G190" s="3" t="n">
        <v>12.1</v>
      </c>
      <c r="H190" s="3" t="n">
        <v>25.39</v>
      </c>
      <c r="I190" s="3" t="n">
        <v>6.69</v>
      </c>
      <c r="J190" s="3" t="n">
        <v>106.76</v>
      </c>
    </row>
    <row r="191">
      <c r="A191" s="8" t="n">
        <v>44705</v>
      </c>
      <c r="B191" s="3" t="n">
        <v>16.17</v>
      </c>
      <c r="C191" s="3" t="n">
        <v>26.08</v>
      </c>
      <c r="D191" s="3" t="n">
        <v>84.04000000000001</v>
      </c>
      <c r="E191" s="3" t="n">
        <v>14.13</v>
      </c>
      <c r="F191" s="3" t="n">
        <v>25.84</v>
      </c>
      <c r="G191" s="3" t="n">
        <v>12.02</v>
      </c>
      <c r="H191" s="3" t="n">
        <v>25.17</v>
      </c>
      <c r="I191" s="3" t="n">
        <v>6.72</v>
      </c>
      <c r="J191" s="3" t="n">
        <v>106.64</v>
      </c>
    </row>
    <row r="192">
      <c r="A192" s="8" t="n">
        <v>44706</v>
      </c>
      <c r="B192" s="3" t="n">
        <v>16.04</v>
      </c>
      <c r="C192" s="3" t="n">
        <v>25.31</v>
      </c>
      <c r="D192" s="3" t="n">
        <v>84.3</v>
      </c>
      <c r="E192" s="3" t="n">
        <v>14.04</v>
      </c>
      <c r="F192" s="3" t="n">
        <v>25.65</v>
      </c>
      <c r="G192" s="3" t="n">
        <v>11.91</v>
      </c>
      <c r="H192" s="3" t="n">
        <v>25.56</v>
      </c>
      <c r="I192" s="3" t="n">
        <v>6.71</v>
      </c>
      <c r="J192" s="3" t="n">
        <v>106.66</v>
      </c>
    </row>
    <row r="193">
      <c r="A193" s="8" t="n">
        <v>44707</v>
      </c>
      <c r="B193" s="3" t="n">
        <v>17.15</v>
      </c>
      <c r="C193" s="3" t="n">
        <v>25.71</v>
      </c>
      <c r="D193" s="3" t="n">
        <v>84.25</v>
      </c>
      <c r="E193" s="3" t="n">
        <v>14.21</v>
      </c>
      <c r="F193" s="3" t="n">
        <v>25.57</v>
      </c>
      <c r="G193" s="3" t="n">
        <v>12.41</v>
      </c>
      <c r="H193" s="3" t="n">
        <v>26.24</v>
      </c>
      <c r="I193" s="3" t="n">
        <v>7.06</v>
      </c>
      <c r="J193" s="3" t="n">
        <v>108.02</v>
      </c>
    </row>
    <row r="194">
      <c r="A194" s="8" t="n">
        <v>44708</v>
      </c>
      <c r="B194" s="3" t="n">
        <v>17.08</v>
      </c>
      <c r="C194" s="3" t="n">
        <v>26.22</v>
      </c>
      <c r="D194" s="3" t="n">
        <v>85.72</v>
      </c>
      <c r="E194" s="3" t="n">
        <v>14.21</v>
      </c>
      <c r="F194" s="3" t="n">
        <v>25.93</v>
      </c>
      <c r="G194" s="3" t="n">
        <v>12.7</v>
      </c>
      <c r="H194" s="3" t="n">
        <v>26.09</v>
      </c>
      <c r="I194" s="3" t="n">
        <v>7.15</v>
      </c>
      <c r="J194" s="3" t="n">
        <v>107.9</v>
      </c>
    </row>
    <row r="195">
      <c r="A195" s="8" t="n">
        <v>44711</v>
      </c>
      <c r="B195" s="3" t="n">
        <v>17.16</v>
      </c>
      <c r="C195" s="3" t="n">
        <v>25.54</v>
      </c>
      <c r="D195" s="3" t="n">
        <v>86.65000000000001</v>
      </c>
      <c r="E195" s="3" t="n">
        <v>14.09</v>
      </c>
      <c r="F195" s="3" t="n">
        <v>26.61</v>
      </c>
      <c r="G195" s="3" t="n">
        <v>12.8</v>
      </c>
      <c r="H195" s="3" t="n">
        <v>25.87</v>
      </c>
      <c r="I195" s="3" t="n">
        <v>6.97</v>
      </c>
      <c r="J195" s="3" t="n">
        <v>106.92</v>
      </c>
    </row>
    <row r="196">
      <c r="A196" s="8" t="n">
        <v>44712</v>
      </c>
      <c r="B196" s="3" t="n">
        <v>17.68</v>
      </c>
      <c r="C196" s="3" t="n">
        <v>25.37</v>
      </c>
      <c r="D196" s="3" t="n">
        <v>86.20999999999999</v>
      </c>
      <c r="E196" s="3" t="n">
        <v>14.19</v>
      </c>
      <c r="F196" s="3" t="n">
        <v>26.88</v>
      </c>
      <c r="G196" s="3" t="n">
        <v>12.77</v>
      </c>
      <c r="H196" s="3" t="n">
        <v>26.6</v>
      </c>
      <c r="I196" s="3" t="n">
        <v>6.72</v>
      </c>
      <c r="J196" s="3" t="n">
        <v>107.18</v>
      </c>
    </row>
    <row r="197">
      <c r="A197" s="8" t="n">
        <v>44713</v>
      </c>
      <c r="B197" s="3" t="n">
        <v>17.79</v>
      </c>
      <c r="C197" s="3" t="n">
        <v>26.21</v>
      </c>
      <c r="D197" s="3" t="n">
        <v>88.23999999999999</v>
      </c>
      <c r="E197" s="3" t="n">
        <v>14.12</v>
      </c>
      <c r="F197" s="3" t="n">
        <v>26.72</v>
      </c>
      <c r="G197" s="3" t="n">
        <v>12.5</v>
      </c>
      <c r="H197" s="3" t="n">
        <v>26.94</v>
      </c>
      <c r="I197" s="3" t="n">
        <v>6.64</v>
      </c>
      <c r="J197" s="3" t="n">
        <v>107.47</v>
      </c>
    </row>
    <row r="198">
      <c r="A198" s="8" t="n">
        <v>44714</v>
      </c>
      <c r="B198" s="3" t="n">
        <v>18.35</v>
      </c>
      <c r="C198" s="3" t="n">
        <v>26.33</v>
      </c>
      <c r="D198" s="3" t="n">
        <v>89.90000000000001</v>
      </c>
      <c r="E198" s="3" t="n">
        <v>14.12</v>
      </c>
      <c r="F198" s="3" t="n">
        <v>26.72</v>
      </c>
      <c r="G198" s="3" t="n">
        <v>12.89</v>
      </c>
      <c r="H198" s="3" t="n">
        <v>28.03</v>
      </c>
      <c r="I198" s="3" t="n">
        <v>6.61</v>
      </c>
      <c r="J198" s="3" t="n">
        <v>108.43</v>
      </c>
    </row>
    <row r="199">
      <c r="A199" s="8" t="n">
        <v>44715</v>
      </c>
      <c r="B199" s="3" t="n">
        <v>18.39</v>
      </c>
      <c r="C199" s="3" t="n">
        <v>25.92</v>
      </c>
      <c r="D199" s="3" t="n">
        <v>88.45999999999999</v>
      </c>
      <c r="E199" s="3" t="n">
        <v>14.08</v>
      </c>
      <c r="F199" s="3" t="n">
        <v>25.88</v>
      </c>
      <c r="G199" s="3" t="n">
        <v>12.67</v>
      </c>
      <c r="H199" s="3" t="n">
        <v>28.19</v>
      </c>
      <c r="I199" s="3" t="n">
        <v>6.34</v>
      </c>
      <c r="J199" s="3" t="n">
        <v>107.48</v>
      </c>
    </row>
    <row r="200">
      <c r="A200" s="8" t="n">
        <v>44718</v>
      </c>
      <c r="B200" s="3" t="n">
        <v>18.24</v>
      </c>
      <c r="C200" s="3" t="n">
        <v>25.98</v>
      </c>
      <c r="D200" s="3" t="n">
        <v>88.55</v>
      </c>
      <c r="E200" s="3" t="n">
        <v>14.05</v>
      </c>
      <c r="F200" s="3" t="n">
        <v>25.67</v>
      </c>
      <c r="G200" s="3" t="n">
        <v>12.28</v>
      </c>
      <c r="H200" s="3" t="n">
        <v>26.98</v>
      </c>
      <c r="I200" s="3" t="n">
        <v>5.95</v>
      </c>
      <c r="J200" s="3" t="n">
        <v>106.42</v>
      </c>
    </row>
    <row r="201">
      <c r="A201" s="8" t="n">
        <v>44719</v>
      </c>
      <c r="B201" s="3" t="n">
        <v>17.87</v>
      </c>
      <c r="C201" s="3" t="n">
        <v>25.95</v>
      </c>
      <c r="D201" s="3" t="n">
        <v>90.62</v>
      </c>
      <c r="E201" s="3" t="n">
        <v>13.73</v>
      </c>
      <c r="F201" s="3" t="n">
        <v>25.42</v>
      </c>
      <c r="G201" s="3" t="n">
        <v>11.89</v>
      </c>
      <c r="H201" s="3" t="n">
        <v>26.68</v>
      </c>
      <c r="I201" s="3" t="n">
        <v>5.87</v>
      </c>
      <c r="J201" s="3" t="n">
        <v>106.15</v>
      </c>
    </row>
    <row r="202">
      <c r="A202" s="8" t="n">
        <v>44720</v>
      </c>
      <c r="B202" s="3" t="n">
        <v>17.65</v>
      </c>
      <c r="C202" s="3" t="n">
        <v>24.41</v>
      </c>
      <c r="D202" s="3" t="n">
        <v>87.5</v>
      </c>
      <c r="E202" s="3" t="n">
        <v>13.76</v>
      </c>
      <c r="F202" s="3" t="n">
        <v>25.32</v>
      </c>
      <c r="G202" s="3" t="n">
        <v>11.79</v>
      </c>
      <c r="H202" s="3" t="n">
        <v>26.35</v>
      </c>
      <c r="I202" s="3" t="n">
        <v>6.05</v>
      </c>
      <c r="J202" s="3" t="n">
        <v>104.6</v>
      </c>
    </row>
    <row r="203">
      <c r="A203" s="8" t="n">
        <v>44721</v>
      </c>
      <c r="B203" s="3" t="n">
        <v>17.93</v>
      </c>
      <c r="C203" s="3" t="n">
        <v>24.52</v>
      </c>
      <c r="D203" s="3" t="n">
        <v>84.54000000000001</v>
      </c>
      <c r="E203" s="3" t="n">
        <v>13.61</v>
      </c>
      <c r="F203" s="3" t="n">
        <v>25.16</v>
      </c>
      <c r="G203" s="3" t="n">
        <v>11.95</v>
      </c>
      <c r="H203" s="3" t="n">
        <v>25.22</v>
      </c>
      <c r="I203" s="3" t="n">
        <v>6.23</v>
      </c>
      <c r="J203" s="3" t="n">
        <v>103.68</v>
      </c>
    </row>
    <row r="204">
      <c r="A204" s="8" t="n">
        <v>44722</v>
      </c>
      <c r="B204" s="3" t="n">
        <v>17.46</v>
      </c>
      <c r="C204" s="3" t="n">
        <v>24</v>
      </c>
      <c r="D204" s="3" t="n">
        <v>84.56</v>
      </c>
      <c r="E204" s="3" t="n">
        <v>13.59</v>
      </c>
      <c r="F204" s="3" t="n">
        <v>24.6</v>
      </c>
      <c r="G204" s="3" t="n">
        <v>11.66</v>
      </c>
      <c r="H204" s="3" t="n">
        <v>24.08</v>
      </c>
      <c r="I204" s="3" t="n">
        <v>6.01</v>
      </c>
      <c r="J204" s="3" t="n">
        <v>101.82</v>
      </c>
    </row>
    <row r="205">
      <c r="A205" s="8" t="n">
        <v>44725</v>
      </c>
      <c r="B205" s="3" t="n">
        <v>17.01</v>
      </c>
      <c r="C205" s="3" t="n">
        <v>23.82</v>
      </c>
      <c r="D205" s="3" t="n">
        <v>81.88</v>
      </c>
      <c r="E205" s="3" t="n">
        <v>13.33</v>
      </c>
      <c r="F205" s="3" t="n">
        <v>24.54</v>
      </c>
      <c r="G205" s="3" t="n">
        <v>11.54</v>
      </c>
      <c r="H205" s="3" t="n">
        <v>23.15</v>
      </c>
      <c r="I205" s="3" t="n">
        <v>5.63</v>
      </c>
      <c r="J205" s="3" t="n">
        <v>99.12</v>
      </c>
    </row>
    <row r="206">
      <c r="A206" s="8" t="n">
        <v>44726</v>
      </c>
      <c r="B206" s="3" t="n">
        <v>17.06</v>
      </c>
      <c r="C206" s="3" t="n">
        <v>24.25</v>
      </c>
      <c r="D206" s="3" t="n">
        <v>81.72</v>
      </c>
      <c r="E206" s="3" t="n">
        <v>13.15</v>
      </c>
      <c r="F206" s="3" t="n">
        <v>24.52</v>
      </c>
      <c r="G206" s="3" t="n">
        <v>11.49</v>
      </c>
      <c r="H206" s="3" t="n">
        <v>22.93</v>
      </c>
      <c r="I206" s="3" t="n">
        <v>5.7</v>
      </c>
      <c r="J206" s="3" t="n">
        <v>98.36</v>
      </c>
    </row>
    <row r="207">
      <c r="A207" s="8" t="n">
        <v>44727</v>
      </c>
      <c r="B207" s="3" t="n">
        <v>17.08</v>
      </c>
      <c r="C207" s="3" t="n">
        <v>24</v>
      </c>
      <c r="D207" s="3" t="n">
        <v>81.67</v>
      </c>
      <c r="E207" s="3" t="n">
        <v>13.06</v>
      </c>
      <c r="F207" s="3" t="n">
        <v>24.91</v>
      </c>
      <c r="G207" s="3" t="n">
        <v>11.61</v>
      </c>
      <c r="H207" s="3" t="n">
        <v>23.9</v>
      </c>
      <c r="I207" s="3" t="n">
        <v>5.96</v>
      </c>
      <c r="J207" s="3" t="n">
        <v>99.38</v>
      </c>
    </row>
    <row r="208">
      <c r="A208" s="8" t="n">
        <v>44729</v>
      </c>
      <c r="B208" s="3" t="n">
        <v>16.89</v>
      </c>
      <c r="C208" s="3" t="n">
        <v>22.83</v>
      </c>
      <c r="D208" s="3" t="n">
        <v>77.41</v>
      </c>
      <c r="E208" s="3" t="n">
        <v>13.03</v>
      </c>
      <c r="F208" s="3" t="n">
        <v>24.87</v>
      </c>
      <c r="G208" s="3" t="n">
        <v>11.45</v>
      </c>
      <c r="H208" s="3" t="n">
        <v>23.74</v>
      </c>
      <c r="I208" s="3" t="n">
        <v>6.15</v>
      </c>
      <c r="J208" s="3" t="n">
        <v>96.20999999999999</v>
      </c>
    </row>
    <row r="209">
      <c r="A209" s="8" t="n">
        <v>44732</v>
      </c>
      <c r="B209" s="3" t="n">
        <v>16.75</v>
      </c>
      <c r="C209" s="3" t="n">
        <v>24.1</v>
      </c>
      <c r="D209" s="3" t="n">
        <v>75.5</v>
      </c>
      <c r="E209" s="3" t="n">
        <v>13.05</v>
      </c>
      <c r="F209" s="3" t="n">
        <v>25.22</v>
      </c>
      <c r="G209" s="3" t="n">
        <v>11.55</v>
      </c>
      <c r="H209" s="3" t="n">
        <v>23.87</v>
      </c>
      <c r="I209" s="3" t="n">
        <v>5.85</v>
      </c>
      <c r="J209" s="3" t="n">
        <v>96.29000000000001</v>
      </c>
    </row>
    <row r="210">
      <c r="A210" s="8" t="n">
        <v>44733</v>
      </c>
      <c r="B210" s="3" t="n">
        <v>16.75</v>
      </c>
      <c r="C210" s="3" t="n">
        <v>25.3</v>
      </c>
      <c r="D210" s="3" t="n">
        <v>76</v>
      </c>
      <c r="E210" s="3" t="n">
        <v>13.17</v>
      </c>
      <c r="F210" s="3" t="n">
        <v>25.31</v>
      </c>
      <c r="G210" s="3" t="n">
        <v>11.49</v>
      </c>
      <c r="H210" s="3" t="n">
        <v>23.11</v>
      </c>
      <c r="I210" s="3" t="n">
        <v>5.72</v>
      </c>
      <c r="J210" s="3" t="n">
        <v>96.40000000000001</v>
      </c>
    </row>
    <row r="211">
      <c r="A211" s="8" t="n">
        <v>44734</v>
      </c>
      <c r="B211" s="3" t="n">
        <v>16.79</v>
      </c>
      <c r="C211" s="3" t="n">
        <v>25.79</v>
      </c>
      <c r="D211" s="3" t="n">
        <v>75.34999999999999</v>
      </c>
      <c r="E211" s="3" t="n">
        <v>13.3</v>
      </c>
      <c r="F211" s="3" t="n">
        <v>25.03</v>
      </c>
      <c r="G211" s="3" t="n">
        <v>11.65</v>
      </c>
      <c r="H211" s="3" t="n">
        <v>23.47</v>
      </c>
      <c r="I211" s="3" t="n">
        <v>5.54</v>
      </c>
      <c r="J211" s="3" t="n">
        <v>96.03</v>
      </c>
    </row>
    <row r="212">
      <c r="A212" s="8" t="n">
        <v>44735</v>
      </c>
      <c r="B212" s="3" t="n">
        <v>16.72</v>
      </c>
      <c r="C212" s="3" t="n">
        <v>25.91</v>
      </c>
      <c r="D212" s="3" t="n">
        <v>72.59999999999999</v>
      </c>
      <c r="E212" s="3" t="n">
        <v>13.33</v>
      </c>
      <c r="F212" s="3" t="n">
        <v>25.12</v>
      </c>
      <c r="G212" s="3" t="n">
        <v>11.58</v>
      </c>
      <c r="H212" s="3" t="n">
        <v>23.85</v>
      </c>
      <c r="I212" s="3" t="n">
        <v>5.49</v>
      </c>
      <c r="J212" s="3" t="n">
        <v>94.66</v>
      </c>
    </row>
    <row r="213">
      <c r="A213" s="8" t="n">
        <v>44736</v>
      </c>
      <c r="B213" s="3" t="n">
        <v>16.63</v>
      </c>
      <c r="C213" s="3" t="n">
        <v>26.46</v>
      </c>
      <c r="D213" s="3" t="n">
        <v>74.62</v>
      </c>
      <c r="E213" s="3" t="n">
        <v>13.67</v>
      </c>
      <c r="F213" s="3" t="n">
        <v>24.75</v>
      </c>
      <c r="G213" s="3" t="n">
        <v>11.6</v>
      </c>
      <c r="H213" s="3" t="n">
        <v>23.15</v>
      </c>
      <c r="I213" s="3" t="n">
        <v>5.56</v>
      </c>
      <c r="J213" s="3" t="n">
        <v>95.47</v>
      </c>
    </row>
    <row r="214">
      <c r="A214" s="8" t="n">
        <v>44739</v>
      </c>
      <c r="B214" s="3" t="n">
        <v>16.69</v>
      </c>
      <c r="C214" s="3" t="n">
        <v>25.93</v>
      </c>
      <c r="D214" s="3" t="n">
        <v>78.05</v>
      </c>
      <c r="E214" s="3" t="n">
        <v>13.72</v>
      </c>
      <c r="F214" s="3" t="n">
        <v>24.92</v>
      </c>
      <c r="G214" s="3" t="n">
        <v>11.6</v>
      </c>
      <c r="H214" s="3" t="n">
        <v>23.19</v>
      </c>
      <c r="I214" s="3" t="n">
        <v>5.54</v>
      </c>
      <c r="J214" s="3" t="n">
        <v>97.34999999999999</v>
      </c>
    </row>
    <row r="215">
      <c r="A215" s="8" t="n">
        <v>44740</v>
      </c>
      <c r="B215" s="3" t="n">
        <v>16.36</v>
      </c>
      <c r="C215" s="3" t="n">
        <v>26.15</v>
      </c>
      <c r="D215" s="3" t="n">
        <v>79.45</v>
      </c>
      <c r="E215" s="3" t="n">
        <v>13.52</v>
      </c>
      <c r="F215" s="3" t="n">
        <v>25.45</v>
      </c>
      <c r="G215" s="3" t="n">
        <v>11.27</v>
      </c>
      <c r="H215" s="3" t="n">
        <v>22.72</v>
      </c>
      <c r="I215" s="3" t="n">
        <v>5.22</v>
      </c>
      <c r="J215" s="3" t="n">
        <v>97.05</v>
      </c>
    </row>
    <row r="216">
      <c r="A216" s="8" t="n">
        <v>44741</v>
      </c>
      <c r="B216" s="3" t="n">
        <v>16.34</v>
      </c>
      <c r="C216" s="3" t="n">
        <v>26.03</v>
      </c>
      <c r="D216" s="3" t="n">
        <v>78.79000000000001</v>
      </c>
      <c r="E216" s="3" t="n">
        <v>13.61</v>
      </c>
      <c r="F216" s="3" t="n">
        <v>25.48</v>
      </c>
      <c r="G216" s="3" t="n">
        <v>10.95</v>
      </c>
      <c r="H216" s="3" t="n">
        <v>22.3</v>
      </c>
      <c r="I216" s="3" t="n">
        <v>5.27</v>
      </c>
      <c r="J216" s="3" t="n">
        <v>96</v>
      </c>
    </row>
    <row r="217">
      <c r="A217" s="8" t="n">
        <v>44742</v>
      </c>
      <c r="B217" s="3" t="n">
        <v>15.97</v>
      </c>
      <c r="C217" s="3" t="n">
        <v>26.45</v>
      </c>
      <c r="D217" s="3" t="n">
        <v>76.56</v>
      </c>
      <c r="E217" s="3" t="n">
        <v>13.4</v>
      </c>
      <c r="F217" s="3" t="n">
        <v>25.96</v>
      </c>
      <c r="G217" s="3" t="n">
        <v>10.96</v>
      </c>
      <c r="H217" s="3" t="n">
        <v>22.62</v>
      </c>
      <c r="I217" s="3" t="n">
        <v>5.47</v>
      </c>
      <c r="J217" s="3" t="n">
        <v>95</v>
      </c>
    </row>
    <row r="218">
      <c r="A218" s="8" t="n">
        <v>44743</v>
      </c>
      <c r="B218" s="3" t="n">
        <v>15.99</v>
      </c>
      <c r="C218" s="3" t="n">
        <v>26.5</v>
      </c>
      <c r="D218" s="3" t="n">
        <v>75.09999999999999</v>
      </c>
      <c r="E218" s="3" t="n">
        <v>13.76</v>
      </c>
      <c r="F218" s="3" t="n">
        <v>26.05</v>
      </c>
      <c r="G218" s="3" t="n">
        <v>11.19</v>
      </c>
      <c r="H218" s="3" t="n">
        <v>23.1</v>
      </c>
      <c r="I218" s="3" t="n">
        <v>5.62</v>
      </c>
      <c r="J218" s="3" t="n">
        <v>95.63</v>
      </c>
    </row>
    <row r="219">
      <c r="A219" s="8" t="n">
        <v>44746</v>
      </c>
      <c r="B219" s="3" t="n">
        <v>15.95</v>
      </c>
      <c r="C219" s="3" t="n">
        <v>26.49</v>
      </c>
      <c r="D219" s="3" t="n">
        <v>74.67</v>
      </c>
      <c r="E219" s="3" t="n">
        <v>13.68</v>
      </c>
      <c r="F219" s="3" t="n">
        <v>25.4</v>
      </c>
      <c r="G219" s="3" t="n">
        <v>11.08</v>
      </c>
      <c r="H219" s="3" t="n">
        <v>23.03</v>
      </c>
      <c r="I219" s="3" t="n">
        <v>6.04</v>
      </c>
      <c r="J219" s="3" t="n">
        <v>95.2</v>
      </c>
    </row>
    <row r="220">
      <c r="A220" s="8" t="n">
        <v>44747</v>
      </c>
      <c r="B220" s="3" t="n">
        <v>16.13</v>
      </c>
      <c r="C220" s="3" t="n">
        <v>27.02</v>
      </c>
      <c r="D220" s="3" t="n">
        <v>74.3</v>
      </c>
      <c r="E220" s="3" t="n">
        <v>14.09</v>
      </c>
      <c r="F220" s="3" t="n">
        <v>25.2</v>
      </c>
      <c r="G220" s="3" t="n">
        <v>11.27</v>
      </c>
      <c r="H220" s="3" t="n">
        <v>23.09</v>
      </c>
      <c r="I220" s="3" t="n">
        <v>6.21</v>
      </c>
      <c r="J220" s="3" t="n">
        <v>94.8</v>
      </c>
    </row>
    <row r="221">
      <c r="A221" s="8" t="n">
        <v>44748</v>
      </c>
      <c r="B221" s="3" t="n">
        <v>16.11</v>
      </c>
      <c r="C221" s="3" t="n">
        <v>27.1</v>
      </c>
      <c r="D221" s="3" t="n">
        <v>75</v>
      </c>
      <c r="E221" s="3" t="n">
        <v>14.23</v>
      </c>
      <c r="F221" s="3" t="n">
        <v>25.2</v>
      </c>
      <c r="G221" s="3" t="n">
        <v>11.11</v>
      </c>
      <c r="H221" s="3" t="n">
        <v>23.86</v>
      </c>
      <c r="I221" s="3" t="n">
        <v>6.31</v>
      </c>
      <c r="J221" s="3" t="n">
        <v>95.42</v>
      </c>
    </row>
    <row r="222">
      <c r="A222" s="8" t="n">
        <v>44749</v>
      </c>
      <c r="B222" s="3" t="n">
        <v>16.12</v>
      </c>
      <c r="C222" s="3" t="n">
        <v>27.61</v>
      </c>
      <c r="D222" s="3" t="n">
        <v>77.18000000000001</v>
      </c>
      <c r="E222" s="3" t="n">
        <v>14.23</v>
      </c>
      <c r="F222" s="3" t="n">
        <v>25.46</v>
      </c>
      <c r="G222" s="3" t="n">
        <v>11.36</v>
      </c>
      <c r="H222" s="3" t="n">
        <v>24.75</v>
      </c>
      <c r="I222" s="3" t="n">
        <v>6.63</v>
      </c>
      <c r="J222" s="3" t="n">
        <v>97.38</v>
      </c>
    </row>
    <row r="223">
      <c r="A223" s="8" t="n">
        <v>44750</v>
      </c>
      <c r="B223" s="3" t="n">
        <v>16.08</v>
      </c>
      <c r="C223" s="3" t="n">
        <v>27.27</v>
      </c>
      <c r="D223" s="3" t="n">
        <v>75.40000000000001</v>
      </c>
      <c r="E223" s="3" t="n">
        <v>14.31</v>
      </c>
      <c r="F223" s="3" t="n">
        <v>25.34</v>
      </c>
      <c r="G223" s="3" t="n">
        <v>11.44</v>
      </c>
      <c r="H223" s="3" t="n">
        <v>24.78</v>
      </c>
      <c r="I223" s="3" t="n">
        <v>6.34</v>
      </c>
      <c r="J223" s="3" t="n">
        <v>96.88</v>
      </c>
    </row>
    <row r="224">
      <c r="A224" s="8" t="n">
        <v>44753</v>
      </c>
      <c r="B224" s="3" t="n">
        <v>15.76</v>
      </c>
      <c r="C224" s="3" t="n">
        <v>26.58</v>
      </c>
      <c r="D224" s="3" t="n">
        <v>72.83</v>
      </c>
      <c r="E224" s="3" t="n">
        <v>14.1</v>
      </c>
      <c r="F224" s="3" t="n">
        <v>25.14</v>
      </c>
      <c r="G224" s="3" t="n">
        <v>10.77</v>
      </c>
      <c r="H224" s="3" t="n">
        <v>24.07</v>
      </c>
      <c r="I224" s="3" t="n">
        <v>6.31</v>
      </c>
      <c r="J224" s="3" t="n">
        <v>94.8</v>
      </c>
    </row>
    <row r="225">
      <c r="A225" s="8" t="n">
        <v>44754</v>
      </c>
      <c r="B225" s="3" t="n">
        <v>15.68</v>
      </c>
      <c r="C225" s="3" t="n">
        <v>26.59</v>
      </c>
      <c r="D225" s="3" t="n">
        <v>73.05</v>
      </c>
      <c r="E225" s="3" t="n">
        <v>13.79</v>
      </c>
      <c r="F225" s="3" t="n">
        <v>25.21</v>
      </c>
      <c r="G225" s="3" t="n">
        <v>10.54</v>
      </c>
      <c r="H225" s="3" t="n">
        <v>24.18</v>
      </c>
      <c r="I225" s="3" t="n">
        <v>6.49</v>
      </c>
      <c r="J225" s="3" t="n">
        <v>94.90000000000001</v>
      </c>
    </row>
    <row r="226">
      <c r="A226" s="8" t="n">
        <v>44755</v>
      </c>
      <c r="B226" s="3" t="n">
        <v>15.43</v>
      </c>
      <c r="C226" s="3" t="n">
        <v>26.73</v>
      </c>
      <c r="D226" s="3" t="n">
        <v>72.8</v>
      </c>
      <c r="E226" s="3" t="n">
        <v>14.57</v>
      </c>
      <c r="F226" s="3" t="n">
        <v>25.3</v>
      </c>
      <c r="G226" s="3" t="n">
        <v>10.28</v>
      </c>
      <c r="H226" s="3" t="n">
        <v>24.6</v>
      </c>
      <c r="I226" s="3" t="n">
        <v>6.37</v>
      </c>
      <c r="J226" s="3" t="n">
        <v>94.51000000000001</v>
      </c>
    </row>
    <row r="227">
      <c r="A227" s="8" t="n">
        <v>44756</v>
      </c>
      <c r="B227" s="3" t="n">
        <v>15.4</v>
      </c>
      <c r="C227" s="3" t="n">
        <v>26.4</v>
      </c>
      <c r="D227" s="3" t="n">
        <v>67.95</v>
      </c>
      <c r="E227" s="3" t="n">
        <v>14.84</v>
      </c>
      <c r="F227" s="3" t="n">
        <v>26.39</v>
      </c>
      <c r="G227" s="3" t="n">
        <v>10.28</v>
      </c>
      <c r="H227" s="3" t="n">
        <v>24.74</v>
      </c>
      <c r="I227" s="3" t="n">
        <v>6.13</v>
      </c>
      <c r="J227" s="3" t="n">
        <v>92.55</v>
      </c>
    </row>
    <row r="228">
      <c r="A228" s="8" t="n">
        <v>44757</v>
      </c>
      <c r="B228" s="3" t="n">
        <v>15.34</v>
      </c>
      <c r="C228" s="3" t="n">
        <v>26.55</v>
      </c>
      <c r="D228" s="3" t="n">
        <v>68.37</v>
      </c>
      <c r="E228" s="3" t="n">
        <v>14.59</v>
      </c>
      <c r="F228" s="3" t="n">
        <v>27.5</v>
      </c>
      <c r="G228" s="3" t="n">
        <v>10.03</v>
      </c>
      <c r="H228" s="3" t="n">
        <v>25.07</v>
      </c>
      <c r="I228" s="3" t="n">
        <v>5.81</v>
      </c>
      <c r="J228" s="3" t="n">
        <v>93.27</v>
      </c>
    </row>
    <row r="229">
      <c r="A229" s="8" t="n">
        <v>44760</v>
      </c>
      <c r="B229" s="3" t="n">
        <v>15.79</v>
      </c>
      <c r="C229" s="3" t="n">
        <v>26.12</v>
      </c>
      <c r="D229" s="3" t="n">
        <v>68.73</v>
      </c>
      <c r="E229" s="3" t="n">
        <v>14.49</v>
      </c>
      <c r="F229" s="3" t="n">
        <v>26.87</v>
      </c>
      <c r="G229" s="3" t="n">
        <v>10.27</v>
      </c>
      <c r="H229" s="3" t="n">
        <v>25.04</v>
      </c>
      <c r="I229" s="3" t="n">
        <v>5.69</v>
      </c>
      <c r="J229" s="3" t="n">
        <v>93.37</v>
      </c>
    </row>
    <row r="230">
      <c r="A230" s="8" t="n">
        <v>44761</v>
      </c>
      <c r="B230" s="3" t="n">
        <v>15.9</v>
      </c>
      <c r="C230" s="3" t="n">
        <v>26.96</v>
      </c>
      <c r="D230" s="3" t="n">
        <v>68.88</v>
      </c>
      <c r="E230" s="3" t="n">
        <v>14.48</v>
      </c>
      <c r="F230" s="3" t="n">
        <v>27.01</v>
      </c>
      <c r="G230" s="3" t="n">
        <v>10.21</v>
      </c>
      <c r="H230" s="3" t="n">
        <v>24.74</v>
      </c>
      <c r="I230" s="3" t="n">
        <v>5.75</v>
      </c>
      <c r="J230" s="3" t="n">
        <v>94.7</v>
      </c>
    </row>
    <row r="231">
      <c r="A231" s="8" t="n">
        <v>44762</v>
      </c>
      <c r="B231" s="3" t="n">
        <v>16.01</v>
      </c>
      <c r="C231" s="3" t="n">
        <v>25.99</v>
      </c>
      <c r="D231" s="3" t="n">
        <v>67.39</v>
      </c>
      <c r="E231" s="3" t="n">
        <v>14.3</v>
      </c>
      <c r="F231" s="3" t="n">
        <v>27.34</v>
      </c>
      <c r="G231" s="3" t="n">
        <v>10.54</v>
      </c>
      <c r="H231" s="3" t="n">
        <v>25.12</v>
      </c>
      <c r="I231" s="3" t="n">
        <v>6.06</v>
      </c>
      <c r="J231" s="3" t="n">
        <v>94.95</v>
      </c>
    </row>
    <row r="232">
      <c r="A232" s="8" t="n">
        <v>44763</v>
      </c>
      <c r="B232" s="3" t="n">
        <v>16.01</v>
      </c>
      <c r="C232" s="3" t="n">
        <v>25.33</v>
      </c>
      <c r="D232" s="3" t="n">
        <v>68.56999999999999</v>
      </c>
      <c r="E232" s="3" t="n">
        <v>14.56</v>
      </c>
      <c r="F232" s="3" t="n">
        <v>27.62</v>
      </c>
      <c r="G232" s="3" t="n">
        <v>11.01</v>
      </c>
      <c r="H232" s="3" t="n">
        <v>24.82</v>
      </c>
      <c r="I232" s="3" t="n">
        <v>6.09</v>
      </c>
      <c r="J232" s="3" t="n">
        <v>95.34999999999999</v>
      </c>
    </row>
    <row r="233">
      <c r="A233" s="8" t="n">
        <v>44764</v>
      </c>
      <c r="B233" s="3" t="n">
        <v>16.09</v>
      </c>
      <c r="C233" s="3" t="n">
        <v>25.84</v>
      </c>
      <c r="D233" s="3" t="n">
        <v>69.20999999999999</v>
      </c>
      <c r="E233" s="3" t="n">
        <v>14.51</v>
      </c>
      <c r="F233" s="3" t="n">
        <v>27.88</v>
      </c>
      <c r="G233" s="3" t="n">
        <v>10.72</v>
      </c>
      <c r="H233" s="3" t="n">
        <v>24.42</v>
      </c>
      <c r="I233" s="3" t="n">
        <v>5.95</v>
      </c>
      <c r="J233" s="3" t="n">
        <v>95.42</v>
      </c>
    </row>
    <row r="234">
      <c r="A234" s="8" t="n">
        <v>44767</v>
      </c>
      <c r="B234" s="3" t="n">
        <v>16.41</v>
      </c>
      <c r="C234" s="3" t="n">
        <v>26.48</v>
      </c>
      <c r="D234" s="3" t="n">
        <v>70.48999999999999</v>
      </c>
      <c r="E234" s="3" t="n">
        <v>14.68</v>
      </c>
      <c r="F234" s="3" t="n">
        <v>28.23</v>
      </c>
      <c r="G234" s="3" t="n">
        <v>10.73</v>
      </c>
      <c r="H234" s="3" t="n">
        <v>24.7</v>
      </c>
      <c r="I234" s="3" t="n">
        <v>5.8</v>
      </c>
      <c r="J234" s="3" t="n">
        <v>96.75</v>
      </c>
    </row>
    <row r="235">
      <c r="A235" s="8" t="n">
        <v>44768</v>
      </c>
      <c r="B235" s="3" t="n">
        <v>16.49</v>
      </c>
      <c r="C235" s="3" t="n">
        <v>26.2</v>
      </c>
      <c r="D235" s="3" t="n">
        <v>70.36</v>
      </c>
      <c r="E235" s="3" t="n">
        <v>14.82</v>
      </c>
      <c r="F235" s="3" t="n">
        <v>28.41</v>
      </c>
      <c r="G235" s="3" t="n">
        <v>10.73</v>
      </c>
      <c r="H235" s="3" t="n">
        <v>24.04</v>
      </c>
      <c r="I235" s="3" t="n">
        <v>5.5</v>
      </c>
      <c r="J235" s="3" t="n">
        <v>96.15000000000001</v>
      </c>
    </row>
    <row r="236">
      <c r="A236" s="8" t="n">
        <v>44769</v>
      </c>
      <c r="B236" s="3" t="n">
        <v>17.39</v>
      </c>
      <c r="C236" s="3" t="n">
        <v>26.87</v>
      </c>
      <c r="D236" s="3" t="n">
        <v>70.52</v>
      </c>
      <c r="E236" s="3" t="n">
        <v>14.98</v>
      </c>
      <c r="F236" s="3" t="n">
        <v>28.8</v>
      </c>
      <c r="G236" s="3" t="n">
        <v>10.88</v>
      </c>
      <c r="H236" s="3" t="n">
        <v>25.22</v>
      </c>
      <c r="I236" s="3" t="n">
        <v>5.86</v>
      </c>
      <c r="J236" s="3" t="n">
        <v>97.83</v>
      </c>
    </row>
    <row r="237">
      <c r="A237" s="8" t="n">
        <v>44770</v>
      </c>
      <c r="B237" s="3" t="n">
        <v>17.55</v>
      </c>
      <c r="C237" s="3" t="n">
        <v>27.93</v>
      </c>
      <c r="D237" s="3" t="n">
        <v>70.69</v>
      </c>
      <c r="E237" s="3" t="n">
        <v>15.1</v>
      </c>
      <c r="F237" s="3" t="n">
        <v>28.87</v>
      </c>
      <c r="G237" s="3" t="n">
        <v>11.26</v>
      </c>
      <c r="H237" s="3" t="n">
        <v>25.97</v>
      </c>
      <c r="I237" s="3" t="n">
        <v>6.13</v>
      </c>
      <c r="J237" s="3" t="n">
        <v>99.09999999999999</v>
      </c>
    </row>
    <row r="238">
      <c r="A238" s="8" t="n">
        <v>44771</v>
      </c>
      <c r="B238" s="3" t="n">
        <v>17.54</v>
      </c>
      <c r="C238" s="3" t="n">
        <v>28.04</v>
      </c>
      <c r="D238" s="3" t="n">
        <v>69.75</v>
      </c>
      <c r="E238" s="3" t="n">
        <v>14.93</v>
      </c>
      <c r="F238" s="3" t="n">
        <v>28.99</v>
      </c>
      <c r="G238" s="3" t="n">
        <v>11.09</v>
      </c>
      <c r="H238" s="3" t="n">
        <v>25.29</v>
      </c>
      <c r="I238" s="3" t="n">
        <v>6.16</v>
      </c>
      <c r="J238" s="3" t="n">
        <v>99.3</v>
      </c>
    </row>
    <row r="239">
      <c r="A239" s="8" t="n">
        <v>44774</v>
      </c>
      <c r="B239" s="3" t="n">
        <v>17.54</v>
      </c>
      <c r="C239" s="3" t="n">
        <v>27.88</v>
      </c>
      <c r="D239" s="3" t="n">
        <v>68.08</v>
      </c>
      <c r="E239" s="3" t="n">
        <v>14.63</v>
      </c>
      <c r="F239" s="3" t="n">
        <v>28.94</v>
      </c>
      <c r="G239" s="3" t="n">
        <v>10.87</v>
      </c>
      <c r="H239" s="3" t="n">
        <v>25.34</v>
      </c>
      <c r="I239" s="3" t="n">
        <v>6.12</v>
      </c>
      <c r="J239" s="3" t="n">
        <v>98.56</v>
      </c>
    </row>
    <row r="240">
      <c r="A240" s="8" t="n">
        <v>44775</v>
      </c>
      <c r="B240" s="3" t="n">
        <v>17.72</v>
      </c>
      <c r="C240" s="3" t="n">
        <v>28.38</v>
      </c>
      <c r="D240" s="3" t="n">
        <v>70.25</v>
      </c>
      <c r="E240" s="3" t="n">
        <v>14.71</v>
      </c>
      <c r="F240" s="3" t="n">
        <v>29.25</v>
      </c>
      <c r="G240" s="3" t="n">
        <v>10.8</v>
      </c>
      <c r="H240" s="3" t="n">
        <v>25.57</v>
      </c>
      <c r="I240" s="3" t="n">
        <v>6.44</v>
      </c>
      <c r="J240" s="3" t="n">
        <v>99.53</v>
      </c>
    </row>
    <row r="241">
      <c r="A241" s="8" t="n">
        <v>44776</v>
      </c>
      <c r="B241" s="3" t="n">
        <v>17.96</v>
      </c>
      <c r="C241" s="3" t="n">
        <v>28.12</v>
      </c>
      <c r="D241" s="3" t="n">
        <v>67.52</v>
      </c>
      <c r="E241" s="3" t="n">
        <v>14.63</v>
      </c>
      <c r="F241" s="3" t="n">
        <v>28.56</v>
      </c>
      <c r="G241" s="3" t="n">
        <v>11.16</v>
      </c>
      <c r="H241" s="3" t="n">
        <v>27.26</v>
      </c>
      <c r="I241" s="3" t="n">
        <v>6.54</v>
      </c>
      <c r="J241" s="3" t="n">
        <v>100.2</v>
      </c>
    </row>
    <row r="242">
      <c r="A242" s="8" t="n">
        <v>44777</v>
      </c>
      <c r="B242" s="3" t="n">
        <v>18.48</v>
      </c>
      <c r="C242" s="3" t="n">
        <v>28.81</v>
      </c>
      <c r="D242" s="3" t="n">
        <v>67.13</v>
      </c>
      <c r="E242" s="3" t="n">
        <v>14.68</v>
      </c>
      <c r="F242" s="3" t="n">
        <v>28.21</v>
      </c>
      <c r="G242" s="3" t="n">
        <v>11.9</v>
      </c>
      <c r="H242" s="3" t="n">
        <v>28.25</v>
      </c>
      <c r="I242" s="3" t="n">
        <v>6.6</v>
      </c>
      <c r="J242" s="3" t="n">
        <v>102.48</v>
      </c>
    </row>
    <row r="243">
      <c r="A243" s="8" t="n">
        <v>44778</v>
      </c>
      <c r="B243" s="3" t="n">
        <v>18.31</v>
      </c>
      <c r="C243" s="3" t="n">
        <v>28.83</v>
      </c>
      <c r="D243" s="3" t="n">
        <v>68</v>
      </c>
      <c r="E243" s="3" t="n">
        <v>14.6</v>
      </c>
      <c r="F243" s="3" t="n">
        <v>28.48</v>
      </c>
      <c r="G243" s="3" t="n">
        <v>12.07</v>
      </c>
      <c r="H243" s="3" t="n">
        <v>27.47</v>
      </c>
      <c r="I243" s="3" t="n">
        <v>6.45</v>
      </c>
      <c r="J243" s="3" t="n">
        <v>102.74</v>
      </c>
    </row>
    <row r="244">
      <c r="A244" s="8" t="n">
        <v>44781</v>
      </c>
      <c r="B244" s="3" t="n">
        <v>18.4</v>
      </c>
      <c r="C244" s="3" t="n">
        <v>29.73</v>
      </c>
      <c r="D244" s="3" t="n">
        <v>68.58</v>
      </c>
      <c r="E244" s="3" t="n">
        <v>14.8</v>
      </c>
      <c r="F244" s="3" t="n">
        <v>29.49</v>
      </c>
      <c r="G244" s="3" t="n">
        <v>12.45</v>
      </c>
      <c r="H244" s="3" t="n">
        <v>27.5</v>
      </c>
      <c r="I244" s="3" t="n">
        <v>6.83</v>
      </c>
      <c r="J244" s="3" t="n">
        <v>104.8</v>
      </c>
    </row>
    <row r="245">
      <c r="A245" s="8" t="n">
        <v>44782</v>
      </c>
      <c r="B245" s="3" t="n">
        <v>18</v>
      </c>
      <c r="C245" s="3" t="n">
        <v>29.58</v>
      </c>
      <c r="D245" s="3" t="n">
        <v>70</v>
      </c>
      <c r="E245" s="3" t="n">
        <v>14.74</v>
      </c>
      <c r="F245" s="3" t="n">
        <v>29.79</v>
      </c>
      <c r="G245" s="3" t="n">
        <v>12.25</v>
      </c>
      <c r="H245" s="3" t="n">
        <v>26.86</v>
      </c>
      <c r="I245" s="3" t="n">
        <v>6.48</v>
      </c>
      <c r="J245" s="3" t="n">
        <v>105.05</v>
      </c>
    </row>
    <row r="246">
      <c r="A246" s="8" t="n">
        <v>44783</v>
      </c>
      <c r="B246" s="3" t="n">
        <v>18.4</v>
      </c>
      <c r="C246" s="3" t="n">
        <v>30.68</v>
      </c>
      <c r="D246" s="3" t="n">
        <v>70.05</v>
      </c>
      <c r="E246" s="3" t="n">
        <v>15.16</v>
      </c>
      <c r="F246" s="3" t="n">
        <v>29.45</v>
      </c>
      <c r="G246" s="3" t="n">
        <v>12.37</v>
      </c>
      <c r="H246" s="3" t="n">
        <v>27.97</v>
      </c>
      <c r="I246" s="3" t="n">
        <v>6.85</v>
      </c>
      <c r="J246" s="3" t="n">
        <v>106.56</v>
      </c>
    </row>
    <row r="247">
      <c r="A247" s="8" t="n">
        <v>44784</v>
      </c>
      <c r="B247" s="3" t="n">
        <v>18.42</v>
      </c>
      <c r="C247" s="3" t="n">
        <v>30.13</v>
      </c>
      <c r="D247" s="3" t="n">
        <v>72.48999999999999</v>
      </c>
      <c r="E247" s="3" t="n">
        <v>15.13</v>
      </c>
      <c r="F247" s="3" t="n">
        <v>30.29</v>
      </c>
      <c r="G247" s="3" t="n">
        <v>12.15</v>
      </c>
      <c r="H247" s="3" t="n">
        <v>27.24</v>
      </c>
      <c r="I247" s="3" t="n">
        <v>6.6</v>
      </c>
      <c r="J247" s="3" t="n">
        <v>105.88</v>
      </c>
    </row>
    <row r="248">
      <c r="A248" s="8" t="n">
        <v>44785</v>
      </c>
      <c r="B248" s="3" t="n">
        <v>19.38</v>
      </c>
      <c r="C248" s="3" t="n">
        <v>30.9</v>
      </c>
      <c r="D248" s="3" t="n">
        <v>69.8</v>
      </c>
      <c r="E248" s="3" t="n">
        <v>15.21</v>
      </c>
      <c r="F248" s="3" t="n">
        <v>30.58</v>
      </c>
      <c r="G248" s="3" t="n">
        <v>13.1</v>
      </c>
      <c r="H248" s="3" t="n">
        <v>27.69</v>
      </c>
      <c r="I248" s="3" t="n">
        <v>7.72</v>
      </c>
      <c r="J248" s="3" t="n">
        <v>108.64</v>
      </c>
    </row>
    <row r="249">
      <c r="A249" s="8" t="n">
        <v>44788</v>
      </c>
      <c r="B249" s="3" t="n">
        <v>19.66</v>
      </c>
      <c r="C249" s="3" t="n">
        <v>30.34</v>
      </c>
      <c r="D249" s="3" t="n">
        <v>68.3</v>
      </c>
      <c r="E249" s="3" t="n">
        <v>15.42</v>
      </c>
      <c r="F249" s="3" t="n">
        <v>30.75</v>
      </c>
      <c r="G249" s="3" t="n">
        <v>13.2</v>
      </c>
      <c r="H249" s="3" t="n">
        <v>28.63</v>
      </c>
      <c r="I249" s="3" t="n">
        <v>7.98</v>
      </c>
      <c r="J249" s="3" t="n">
        <v>108.97</v>
      </c>
    </row>
    <row r="250">
      <c r="A250" s="8" t="n">
        <v>44789</v>
      </c>
      <c r="B250" s="3" t="n">
        <v>19.71</v>
      </c>
      <c r="C250" s="3" t="n">
        <v>30.59</v>
      </c>
      <c r="D250" s="3" t="n">
        <v>69.95</v>
      </c>
      <c r="E250" s="3" t="n">
        <v>15.5</v>
      </c>
      <c r="F250" s="3" t="n">
        <v>30.49</v>
      </c>
      <c r="G250" s="3" t="n">
        <v>13.12</v>
      </c>
      <c r="H250" s="3" t="n">
        <v>28.06</v>
      </c>
      <c r="I250" s="3" t="n">
        <v>7.84</v>
      </c>
      <c r="J250" s="3" t="n">
        <v>109.76</v>
      </c>
    </row>
    <row r="251">
      <c r="A251" s="8" t="n">
        <v>44790</v>
      </c>
      <c r="B251" s="3" t="n">
        <v>19.88</v>
      </c>
      <c r="C251" s="3" t="n">
        <v>30.43</v>
      </c>
      <c r="D251" s="3" t="n">
        <v>68.23</v>
      </c>
      <c r="E251" s="3" t="n">
        <v>15.55</v>
      </c>
      <c r="F251" s="3" t="n">
        <v>30.22</v>
      </c>
      <c r="G251" s="3" t="n">
        <v>12.87</v>
      </c>
      <c r="H251" s="3" t="n">
        <v>27.65</v>
      </c>
      <c r="I251" s="3" t="n">
        <v>7.61</v>
      </c>
      <c r="J251" s="3" t="n">
        <v>109.99</v>
      </c>
    </row>
    <row r="252">
      <c r="A252" s="8" t="n">
        <v>44791</v>
      </c>
      <c r="B252" s="3" t="n">
        <v>19.96</v>
      </c>
      <c r="C252" s="3" t="n">
        <v>30.84</v>
      </c>
      <c r="D252" s="3" t="n">
        <v>67.72</v>
      </c>
      <c r="E252" s="3" t="n">
        <v>16</v>
      </c>
      <c r="F252" s="3" t="n">
        <v>28.67</v>
      </c>
      <c r="G252" s="3" t="n">
        <v>12.85</v>
      </c>
      <c r="H252" s="3" t="n">
        <v>27.65</v>
      </c>
      <c r="I252" s="3" t="n">
        <v>7.94</v>
      </c>
      <c r="J252" s="3" t="n">
        <v>109.94</v>
      </c>
    </row>
    <row r="253">
      <c r="A253" s="8" t="n">
        <v>44792</v>
      </c>
      <c r="B253" s="3" t="n">
        <v>19.33</v>
      </c>
      <c r="C253" s="3" t="n">
        <v>29.85</v>
      </c>
      <c r="D253" s="3" t="n">
        <v>66.95999999999999</v>
      </c>
      <c r="E253" s="3" t="n">
        <v>15.66</v>
      </c>
      <c r="F253" s="3" t="n">
        <v>28.5</v>
      </c>
      <c r="G253" s="3" t="n">
        <v>12.51</v>
      </c>
      <c r="H253" s="3" t="n">
        <v>27.13</v>
      </c>
      <c r="I253" s="3" t="n">
        <v>7.66</v>
      </c>
      <c r="J253" s="3" t="n">
        <v>107.53</v>
      </c>
    </row>
    <row r="254">
      <c r="A254" s="8" t="n">
        <v>44795</v>
      </c>
      <c r="B254" s="3" t="n">
        <v>19.24</v>
      </c>
      <c r="C254" s="3" t="n">
        <v>28.95</v>
      </c>
      <c r="D254" s="3" t="n">
        <v>65.98</v>
      </c>
      <c r="E254" s="3" t="n">
        <v>15.42</v>
      </c>
      <c r="F254" s="3" t="n">
        <v>28.56</v>
      </c>
      <c r="G254" s="3" t="n">
        <v>12.3</v>
      </c>
      <c r="H254" s="3" t="n">
        <v>26.57</v>
      </c>
      <c r="I254" s="3" t="n">
        <v>7.31</v>
      </c>
      <c r="J254" s="3" t="n">
        <v>106.73</v>
      </c>
    </row>
    <row r="255">
      <c r="A255" s="8" t="n">
        <v>44796</v>
      </c>
      <c r="B255" s="3" t="n">
        <v>19.56</v>
      </c>
      <c r="C255" s="3" t="n">
        <v>28.8</v>
      </c>
      <c r="D255" s="3" t="n">
        <v>70.20999999999999</v>
      </c>
      <c r="E255" s="3" t="n">
        <v>15.44</v>
      </c>
      <c r="F255" s="3" t="n">
        <v>28.5</v>
      </c>
      <c r="G255" s="3" t="n">
        <v>12.43</v>
      </c>
      <c r="H255" s="3" t="n">
        <v>27</v>
      </c>
      <c r="I255" s="3" t="n">
        <v>7.4</v>
      </c>
      <c r="J255" s="3" t="n">
        <v>109.1</v>
      </c>
    </row>
    <row r="256">
      <c r="A256" s="8" t="n">
        <v>44797</v>
      </c>
      <c r="B256" s="3" t="n">
        <v>20</v>
      </c>
      <c r="C256" s="3" t="n">
        <v>28.79</v>
      </c>
      <c r="D256" s="3" t="n">
        <v>67.95</v>
      </c>
      <c r="E256" s="3" t="n">
        <v>15.8</v>
      </c>
      <c r="F256" s="3" t="n">
        <v>28.5</v>
      </c>
      <c r="G256" s="3" t="n">
        <v>12.46</v>
      </c>
      <c r="H256" s="3" t="n">
        <v>27.23</v>
      </c>
      <c r="I256" s="3" t="n">
        <v>7.79</v>
      </c>
      <c r="J256" s="3" t="n">
        <v>109.18</v>
      </c>
    </row>
    <row r="257">
      <c r="A257" s="8" t="n">
        <v>44798</v>
      </c>
      <c r="B257" s="3" t="n">
        <v>20.29</v>
      </c>
      <c r="C257" s="3" t="n">
        <v>28.95</v>
      </c>
      <c r="D257" s="3" t="n">
        <v>69.27</v>
      </c>
      <c r="E257" s="3" t="n">
        <v>15.82</v>
      </c>
      <c r="F257" s="3" t="n">
        <v>28.15</v>
      </c>
      <c r="G257" s="3" t="n">
        <v>12.77</v>
      </c>
      <c r="H257" s="3" t="n">
        <v>27.6</v>
      </c>
      <c r="I257" s="3" t="n">
        <v>8.07</v>
      </c>
      <c r="J257" s="3" t="n">
        <v>109.6</v>
      </c>
    </row>
    <row r="258">
      <c r="A258" s="8" t="n">
        <v>44799</v>
      </c>
      <c r="B258" s="3" t="n">
        <v>20.03</v>
      </c>
      <c r="C258" s="3" t="n">
        <v>28.81</v>
      </c>
      <c r="D258" s="3" t="n">
        <v>68.23</v>
      </c>
      <c r="E258" s="3" t="n">
        <v>15.67</v>
      </c>
      <c r="F258" s="3" t="n">
        <v>28.4</v>
      </c>
      <c r="G258" s="3" t="n">
        <v>12.43</v>
      </c>
      <c r="H258" s="3" t="n">
        <v>27.8</v>
      </c>
      <c r="I258" s="3" t="n">
        <v>8.06</v>
      </c>
      <c r="J258" s="3" t="n">
        <v>108.36</v>
      </c>
    </row>
    <row r="259">
      <c r="A259" s="8" t="n">
        <v>44802</v>
      </c>
      <c r="B259" s="3" t="n">
        <v>20.09</v>
      </c>
      <c r="C259" s="3" t="n">
        <v>28.37</v>
      </c>
      <c r="D259" s="3" t="n">
        <v>66.91</v>
      </c>
      <c r="E259" s="3" t="n">
        <v>15.61</v>
      </c>
      <c r="F259" s="3" t="n">
        <v>28.22</v>
      </c>
      <c r="G259" s="3" t="n">
        <v>12.34</v>
      </c>
      <c r="H259" s="3" t="n">
        <v>27.53</v>
      </c>
      <c r="I259" s="3" t="n">
        <v>7.67</v>
      </c>
      <c r="J259" s="3" t="n">
        <v>108.4</v>
      </c>
    </row>
    <row r="260">
      <c r="A260" s="8" t="n">
        <v>44803</v>
      </c>
      <c r="B260" s="3" t="n">
        <v>20.13</v>
      </c>
      <c r="C260" s="3" t="n">
        <v>28.39</v>
      </c>
      <c r="D260" s="3" t="n">
        <v>64.97</v>
      </c>
      <c r="E260" s="3" t="n">
        <v>15.39</v>
      </c>
      <c r="F260" s="3" t="n">
        <v>28.23</v>
      </c>
      <c r="G260" s="3" t="n">
        <v>12.19</v>
      </c>
      <c r="H260" s="3" t="n">
        <v>27.39</v>
      </c>
      <c r="I260" s="3" t="n">
        <v>7.55</v>
      </c>
      <c r="J260" s="3" t="n">
        <v>106.4</v>
      </c>
    </row>
    <row r="261">
      <c r="A261" s="8" t="n">
        <v>44804</v>
      </c>
      <c r="B261" s="3" t="n">
        <v>20.21</v>
      </c>
      <c r="C261" s="3" t="n">
        <v>28.29</v>
      </c>
      <c r="D261" s="3" t="n">
        <v>64.5</v>
      </c>
      <c r="E261" s="3" t="n">
        <v>15.27</v>
      </c>
      <c r="F261" s="3" t="n">
        <v>28.28</v>
      </c>
      <c r="G261" s="3" t="n">
        <v>11.85</v>
      </c>
      <c r="H261" s="3" t="n">
        <v>26.47</v>
      </c>
      <c r="I261" s="3" t="n">
        <v>7.28</v>
      </c>
      <c r="J261" s="3" t="n">
        <v>105.83</v>
      </c>
    </row>
    <row r="262">
      <c r="A262" s="8" t="n">
        <v>44805</v>
      </c>
      <c r="B262" s="3" t="n">
        <v>20.37</v>
      </c>
      <c r="C262" s="3" t="n">
        <v>28.38</v>
      </c>
      <c r="D262" s="3" t="n">
        <v>63.89</v>
      </c>
      <c r="E262" s="3" t="n">
        <v>15.43</v>
      </c>
      <c r="F262" s="3" t="n">
        <v>28.79</v>
      </c>
      <c r="G262" s="3" t="n">
        <v>12.1</v>
      </c>
      <c r="H262" s="3" t="n">
        <v>26.57</v>
      </c>
      <c r="I262" s="3" t="n">
        <v>7.51</v>
      </c>
      <c r="J262" s="3" t="n">
        <v>106.59</v>
      </c>
    </row>
    <row r="263">
      <c r="A263" s="8" t="n">
        <v>44806</v>
      </c>
      <c r="B263" s="3" t="n">
        <v>20.26</v>
      </c>
      <c r="C263" s="3" t="n">
        <v>30.21</v>
      </c>
      <c r="D263" s="3" t="n">
        <v>62.92</v>
      </c>
      <c r="E263" s="3" t="n">
        <v>15.48</v>
      </c>
      <c r="F263" s="3" t="n">
        <v>28.46</v>
      </c>
      <c r="G263" s="3" t="n">
        <v>12.64</v>
      </c>
      <c r="H263" s="3" t="n">
        <v>26.7</v>
      </c>
      <c r="I263" s="3" t="n">
        <v>7.86</v>
      </c>
      <c r="J263" s="3" t="n">
        <v>107.09</v>
      </c>
    </row>
    <row r="264">
      <c r="A264" s="8" t="n">
        <v>44809</v>
      </c>
      <c r="B264" s="3" t="n">
        <v>20.57</v>
      </c>
      <c r="C264" s="3" t="n">
        <v>30.9</v>
      </c>
      <c r="D264" s="3" t="n">
        <v>65.22</v>
      </c>
      <c r="E264" s="3" t="n">
        <v>15.55</v>
      </c>
      <c r="F264" s="3" t="n">
        <v>28.68</v>
      </c>
      <c r="G264" s="3" t="n">
        <v>12.85</v>
      </c>
      <c r="H264" s="3" t="n">
        <v>26.97</v>
      </c>
      <c r="I264" s="3" t="n">
        <v>7.84</v>
      </c>
      <c r="J264" s="3" t="n">
        <v>108.45</v>
      </c>
    </row>
    <row r="265">
      <c r="A265" s="8" t="n">
        <v>44810</v>
      </c>
      <c r="B265" s="3" t="n">
        <v>20.21</v>
      </c>
      <c r="C265" s="3" t="n">
        <v>30.29</v>
      </c>
      <c r="D265" s="3" t="n">
        <v>63.67</v>
      </c>
      <c r="E265" s="3" t="n">
        <v>15.56</v>
      </c>
      <c r="F265" s="3" t="n">
        <v>28.8</v>
      </c>
      <c r="G265" s="3" t="n">
        <v>12.39</v>
      </c>
      <c r="H265" s="3" t="n">
        <v>26.03</v>
      </c>
      <c r="I265" s="3" t="n">
        <v>7.81</v>
      </c>
      <c r="J265" s="3" t="n">
        <v>105.95</v>
      </c>
    </row>
    <row r="266">
      <c r="A266" s="8" t="n">
        <v>44812</v>
      </c>
      <c r="B266" s="3" t="n">
        <v>20.36</v>
      </c>
      <c r="C266" s="3" t="n">
        <v>30.21</v>
      </c>
      <c r="D266" s="3" t="n">
        <v>64.51000000000001</v>
      </c>
      <c r="E266" s="3" t="n">
        <v>15.5</v>
      </c>
      <c r="F266" s="3" t="n">
        <v>28.58</v>
      </c>
      <c r="G266" s="3" t="n">
        <v>13</v>
      </c>
      <c r="H266" s="3" t="n">
        <v>26.02</v>
      </c>
      <c r="I266" s="3" t="n">
        <v>7.95</v>
      </c>
      <c r="J266" s="3" t="n">
        <v>106.18</v>
      </c>
    </row>
    <row r="267">
      <c r="A267" s="8" t="n">
        <v>44813</v>
      </c>
      <c r="B267" s="3" t="n">
        <v>20.73</v>
      </c>
      <c r="C267" s="3" t="n">
        <v>30.45</v>
      </c>
      <c r="D267" s="3" t="n">
        <v>69.55</v>
      </c>
      <c r="E267" s="3" t="n">
        <v>15.72</v>
      </c>
      <c r="F267" s="3" t="n">
        <v>28.56</v>
      </c>
      <c r="G267" s="3" t="n">
        <v>12.95</v>
      </c>
      <c r="H267" s="3" t="n">
        <v>26.85</v>
      </c>
      <c r="I267" s="3" t="n">
        <v>8.130000000000001</v>
      </c>
      <c r="J267" s="3" t="n">
        <v>108.4</v>
      </c>
    </row>
    <row r="268">
      <c r="A268" s="8" t="n">
        <v>44816</v>
      </c>
      <c r="B268" s="3" t="n">
        <v>20.69</v>
      </c>
      <c r="C268" s="3" t="n">
        <v>31.72</v>
      </c>
      <c r="D268" s="3" t="n">
        <v>70.15000000000001</v>
      </c>
      <c r="E268" s="3" t="n">
        <v>15.71</v>
      </c>
      <c r="F268" s="3" t="n">
        <v>28.18</v>
      </c>
      <c r="G268" s="3" t="n">
        <v>13.24</v>
      </c>
      <c r="H268" s="3" t="n">
        <v>27.52</v>
      </c>
      <c r="I268" s="3" t="n">
        <v>8.35</v>
      </c>
      <c r="J268" s="3" t="n">
        <v>109.55</v>
      </c>
    </row>
    <row r="269">
      <c r="A269" s="8" t="n">
        <v>44817</v>
      </c>
      <c r="B269" s="3" t="n">
        <v>19.79</v>
      </c>
      <c r="C269" s="3" t="n">
        <v>30.61</v>
      </c>
      <c r="D269" s="3" t="n">
        <v>68.25</v>
      </c>
      <c r="E269" s="3" t="n">
        <v>15.59</v>
      </c>
      <c r="F269" s="3" t="n">
        <v>28.37</v>
      </c>
      <c r="G269" s="3" t="n">
        <v>12.88</v>
      </c>
      <c r="H269" s="3" t="n">
        <v>27.22</v>
      </c>
      <c r="I269" s="3" t="n">
        <v>7.79</v>
      </c>
      <c r="J269" s="3" t="n">
        <v>106.98</v>
      </c>
    </row>
    <row r="270">
      <c r="A270" s="8" t="n">
        <v>44818</v>
      </c>
      <c r="B270" s="3" t="n">
        <v>20.13</v>
      </c>
      <c r="C270" s="3" t="n">
        <v>30.62</v>
      </c>
      <c r="D270" s="3" t="n">
        <v>67</v>
      </c>
      <c r="E270" s="3" t="n">
        <v>15.38</v>
      </c>
      <c r="F270" s="3" t="n">
        <v>28.12</v>
      </c>
      <c r="G270" s="3" t="n">
        <v>12.78</v>
      </c>
      <c r="H270" s="3" t="n">
        <v>27.38</v>
      </c>
      <c r="I270" s="3" t="n">
        <v>7.83</v>
      </c>
      <c r="J270" s="3" t="n">
        <v>106.75</v>
      </c>
    </row>
    <row r="271">
      <c r="A271" s="8" t="n">
        <v>44819</v>
      </c>
      <c r="B271" s="3" t="n">
        <v>19.88</v>
      </c>
      <c r="C271" s="3" t="n">
        <v>30.01</v>
      </c>
      <c r="D271" s="3" t="n">
        <v>68.34999999999999</v>
      </c>
      <c r="E271" s="3" t="n">
        <v>15.3</v>
      </c>
      <c r="F271" s="3" t="n">
        <v>28.33</v>
      </c>
      <c r="G271" s="3" t="n">
        <v>12.56</v>
      </c>
      <c r="H271" s="3" t="n">
        <v>26.8</v>
      </c>
      <c r="I271" s="3" t="n">
        <v>7.68</v>
      </c>
      <c r="J271" s="3" t="n">
        <v>106.11</v>
      </c>
    </row>
    <row r="272">
      <c r="A272" s="8" t="n">
        <v>44820</v>
      </c>
      <c r="B272" s="3" t="n">
        <v>19.66</v>
      </c>
      <c r="C272" s="3" t="n">
        <v>30.48</v>
      </c>
      <c r="D272" s="3" t="n">
        <v>68.25</v>
      </c>
      <c r="E272" s="3" t="n">
        <v>15.27</v>
      </c>
      <c r="F272" s="3" t="n">
        <v>29.47</v>
      </c>
      <c r="G272" s="3" t="n">
        <v>12.38</v>
      </c>
      <c r="H272" s="3" t="n">
        <v>26.38</v>
      </c>
      <c r="I272" s="3" t="n">
        <v>7.45</v>
      </c>
      <c r="J272" s="3" t="n">
        <v>105.6</v>
      </c>
    </row>
    <row r="273">
      <c r="A273" s="8" t="n">
        <v>44823</v>
      </c>
      <c r="B273" s="3" t="n">
        <v>19.79</v>
      </c>
      <c r="C273" s="3" t="n">
        <v>30.6</v>
      </c>
      <c r="D273" s="3" t="n">
        <v>70.45999999999999</v>
      </c>
      <c r="E273" s="3" t="n">
        <v>15.47</v>
      </c>
      <c r="F273" s="3" t="n">
        <v>29.81</v>
      </c>
      <c r="G273" s="3" t="n">
        <v>13.22</v>
      </c>
      <c r="H273" s="3" t="n">
        <v>26.72</v>
      </c>
      <c r="I273" s="3" t="n">
        <v>7.78</v>
      </c>
      <c r="J273" s="3" t="n">
        <v>108.22</v>
      </c>
    </row>
    <row r="274">
      <c r="A274" s="8" t="n">
        <v>44824</v>
      </c>
      <c r="B274" s="3" t="n">
        <v>19.64</v>
      </c>
      <c r="C274" s="3" t="n">
        <v>31.13</v>
      </c>
      <c r="D274" s="3" t="n">
        <v>69.45</v>
      </c>
      <c r="E274" s="3" t="n">
        <v>15.76</v>
      </c>
      <c r="F274" s="3" t="n">
        <v>30.22</v>
      </c>
      <c r="G274" s="3" t="n">
        <v>13.64</v>
      </c>
      <c r="H274" s="3" t="n">
        <v>26.82</v>
      </c>
      <c r="I274" s="3" t="n">
        <v>7.89</v>
      </c>
      <c r="J274" s="3" t="n">
        <v>108.85</v>
      </c>
    </row>
    <row r="275">
      <c r="A275" s="8" t="n">
        <v>44825</v>
      </c>
      <c r="B275" s="3" t="n">
        <v>19.85</v>
      </c>
      <c r="C275" s="3" t="n">
        <v>31.18</v>
      </c>
      <c r="D275" s="3" t="n">
        <v>68.45</v>
      </c>
      <c r="E275" s="3" t="n">
        <v>15.55</v>
      </c>
      <c r="F275" s="3" t="n">
        <v>30.08</v>
      </c>
      <c r="G275" s="3" t="n">
        <v>13.32</v>
      </c>
      <c r="H275" s="3" t="n">
        <v>27.62</v>
      </c>
      <c r="I275" s="3" t="n">
        <v>8.109999999999999</v>
      </c>
      <c r="J275" s="3" t="n">
        <v>108.16</v>
      </c>
    </row>
    <row r="276">
      <c r="A276" s="8" t="n">
        <v>44826</v>
      </c>
      <c r="B276" s="3" t="n">
        <v>20</v>
      </c>
      <c r="C276" s="3" t="n">
        <v>31.01</v>
      </c>
      <c r="D276" s="3" t="n">
        <v>70.02</v>
      </c>
      <c r="E276" s="3" t="n">
        <v>15.67</v>
      </c>
      <c r="F276" s="3" t="n">
        <v>29.64</v>
      </c>
      <c r="G276" s="3" t="n">
        <v>13.44</v>
      </c>
      <c r="H276" s="3" t="n">
        <v>28.45</v>
      </c>
      <c r="I276" s="3" t="n">
        <v>8.32</v>
      </c>
      <c r="J276" s="3" t="n">
        <v>110.13</v>
      </c>
    </row>
    <row r="277">
      <c r="A277" s="8" t="n">
        <v>44827</v>
      </c>
      <c r="B277" s="3" t="n">
        <v>19.35</v>
      </c>
      <c r="C277" s="3" t="n">
        <v>30.57</v>
      </c>
      <c r="D277" s="3" t="n">
        <v>68.56999999999999</v>
      </c>
      <c r="E277" s="3" t="n">
        <v>15.37</v>
      </c>
      <c r="F277" s="3" t="n">
        <v>29.61</v>
      </c>
      <c r="G277" s="3" t="n">
        <v>13.39</v>
      </c>
      <c r="H277" s="3" t="n">
        <v>28.57</v>
      </c>
      <c r="I277" s="3" t="n">
        <v>8.199999999999999</v>
      </c>
      <c r="J277" s="3" t="n">
        <v>107.84</v>
      </c>
    </row>
    <row r="278">
      <c r="A278" s="8" t="n">
        <v>44830</v>
      </c>
      <c r="B278" s="3" t="n">
        <v>18.85</v>
      </c>
      <c r="C278" s="3" t="n">
        <v>30.52</v>
      </c>
      <c r="D278" s="3" t="n">
        <v>68</v>
      </c>
      <c r="E278" s="3" t="n">
        <v>15.27</v>
      </c>
      <c r="F278" s="3" t="n">
        <v>28.97</v>
      </c>
      <c r="G278" s="3" t="n">
        <v>12.74</v>
      </c>
      <c r="H278" s="3" t="n">
        <v>27.86</v>
      </c>
      <c r="I278" s="3" t="n">
        <v>7.9</v>
      </c>
      <c r="J278" s="3" t="n">
        <v>105.13</v>
      </c>
    </row>
    <row r="279">
      <c r="A279" s="8" t="n">
        <v>44831</v>
      </c>
      <c r="B279" s="3" t="n">
        <v>18.58</v>
      </c>
      <c r="C279" s="3" t="n">
        <v>30.05</v>
      </c>
      <c r="D279" s="3" t="n">
        <v>67.7</v>
      </c>
      <c r="E279" s="3" t="n">
        <v>15.44</v>
      </c>
      <c r="F279" s="3" t="n">
        <v>28.62</v>
      </c>
      <c r="G279" s="3" t="n">
        <v>12.75</v>
      </c>
      <c r="H279" s="3" t="n">
        <v>27.96</v>
      </c>
      <c r="I279" s="3" t="n">
        <v>7.94</v>
      </c>
      <c r="J279" s="3" t="n">
        <v>104.68</v>
      </c>
    </row>
    <row r="280">
      <c r="A280" s="8" t="n">
        <v>44832</v>
      </c>
      <c r="B280" s="3" t="n">
        <v>18.46</v>
      </c>
      <c r="C280" s="3" t="n">
        <v>30.32</v>
      </c>
      <c r="D280" s="3" t="n">
        <v>68.34</v>
      </c>
      <c r="E280" s="3" t="n">
        <v>15.72</v>
      </c>
      <c r="F280" s="3" t="n">
        <v>27.39</v>
      </c>
      <c r="G280" s="3" t="n">
        <v>12.85</v>
      </c>
      <c r="H280" s="3" t="n">
        <v>27.63</v>
      </c>
      <c r="I280" s="3" t="n">
        <v>7.75</v>
      </c>
      <c r="J280" s="3" t="n">
        <v>104.82</v>
      </c>
    </row>
    <row r="281">
      <c r="A281" s="8" t="n">
        <v>44833</v>
      </c>
      <c r="B281" s="3" t="n">
        <v>18.19</v>
      </c>
      <c r="C281" s="3" t="n">
        <v>30.14</v>
      </c>
      <c r="D281" s="3" t="n">
        <v>68.43000000000001</v>
      </c>
      <c r="E281" s="3" t="n">
        <v>15.61</v>
      </c>
      <c r="F281" s="3" t="n">
        <v>26.56</v>
      </c>
      <c r="G281" s="3" t="n">
        <v>12.6</v>
      </c>
      <c r="H281" s="3" t="n">
        <v>26.94</v>
      </c>
      <c r="I281" s="3" t="n">
        <v>7.48</v>
      </c>
      <c r="J281" s="3" t="n">
        <v>103.8</v>
      </c>
    </row>
    <row r="282">
      <c r="A282" s="8" t="n">
        <v>44834</v>
      </c>
      <c r="B282" s="3" t="n">
        <v>18.48</v>
      </c>
      <c r="C282" s="3" t="n">
        <v>32.14</v>
      </c>
      <c r="D282" s="3" t="n">
        <v>72.04000000000001</v>
      </c>
      <c r="E282" s="3" t="n">
        <v>15.54</v>
      </c>
      <c r="F282" s="3" t="n">
        <v>26.57</v>
      </c>
      <c r="G282" s="3" t="n">
        <v>13.05</v>
      </c>
      <c r="H282" s="3" t="n">
        <v>27.85</v>
      </c>
      <c r="I282" s="3" t="n">
        <v>7.57</v>
      </c>
      <c r="J282" s="3" t="n">
        <v>106.46</v>
      </c>
    </row>
    <row r="283">
      <c r="A283" s="8" t="n">
        <v>44837</v>
      </c>
      <c r="B283" s="3" t="n">
        <v>19.24</v>
      </c>
      <c r="C283" s="3" t="n">
        <v>33.58</v>
      </c>
      <c r="D283" s="3" t="n">
        <v>74</v>
      </c>
      <c r="E283" s="3" t="n">
        <v>16.3</v>
      </c>
      <c r="F283" s="3" t="n">
        <v>27.36</v>
      </c>
      <c r="G283" s="3" t="n">
        <v>13.88</v>
      </c>
      <c r="H283" s="3" t="n">
        <v>30.12</v>
      </c>
      <c r="I283" s="3" t="n">
        <v>8.039999999999999</v>
      </c>
      <c r="J283" s="3" t="n">
        <v>112.4</v>
      </c>
    </row>
    <row r="284">
      <c r="A284" s="8" t="n">
        <v>44838</v>
      </c>
      <c r="B284" s="3" t="n">
        <v>19.4</v>
      </c>
      <c r="C284" s="3" t="n">
        <v>33.24</v>
      </c>
      <c r="D284" s="3" t="n">
        <v>75.79000000000001</v>
      </c>
      <c r="E284" s="3" t="n">
        <v>16.24</v>
      </c>
      <c r="F284" s="3" t="n">
        <v>26.86</v>
      </c>
      <c r="G284" s="3" t="n">
        <v>14.48</v>
      </c>
      <c r="H284" s="3" t="n">
        <v>29.98</v>
      </c>
      <c r="I284" s="3" t="n">
        <v>8.27</v>
      </c>
      <c r="J284" s="3" t="n">
        <v>112.35</v>
      </c>
    </row>
    <row r="285">
      <c r="A285" s="8" t="n">
        <v>44839</v>
      </c>
      <c r="B285" s="3" t="n">
        <v>19.56</v>
      </c>
      <c r="C285" s="3" t="n">
        <v>33.67</v>
      </c>
      <c r="D285" s="3" t="n">
        <v>76.95999999999999</v>
      </c>
      <c r="E285" s="3" t="n">
        <v>16.12</v>
      </c>
      <c r="F285" s="3" t="n">
        <v>27.57</v>
      </c>
      <c r="G285" s="3" t="n">
        <v>14.73</v>
      </c>
      <c r="H285" s="3" t="n">
        <v>30.58</v>
      </c>
      <c r="I285" s="3" t="n">
        <v>8.140000000000001</v>
      </c>
      <c r="J285" s="3" t="n">
        <v>113.32</v>
      </c>
    </row>
    <row r="286">
      <c r="A286" s="8" t="n">
        <v>44840</v>
      </c>
      <c r="B286" s="3" t="n">
        <v>19.81</v>
      </c>
      <c r="C286" s="3" t="n">
        <v>33.73</v>
      </c>
      <c r="D286" s="3" t="n">
        <v>75.55</v>
      </c>
      <c r="E286" s="3" t="n">
        <v>16.03</v>
      </c>
      <c r="F286" s="3" t="n">
        <v>27.78</v>
      </c>
      <c r="G286" s="3" t="n">
        <v>14.83</v>
      </c>
      <c r="H286" s="3" t="n">
        <v>31.27</v>
      </c>
      <c r="I286" s="3" t="n">
        <v>8.1</v>
      </c>
      <c r="J286" s="3" t="n">
        <v>113.47</v>
      </c>
    </row>
    <row r="287">
      <c r="A287" s="8" t="n">
        <v>44841</v>
      </c>
      <c r="B287" s="3" t="n">
        <v>19.11</v>
      </c>
      <c r="C287" s="3" t="n">
        <v>33.35</v>
      </c>
      <c r="D287" s="3" t="n">
        <v>75.51000000000001</v>
      </c>
      <c r="E287" s="3" t="n">
        <v>15.42</v>
      </c>
      <c r="F287" s="3" t="n">
        <v>28.16</v>
      </c>
      <c r="G287" s="3" t="n">
        <v>14.8</v>
      </c>
      <c r="H287" s="3" t="n">
        <v>30.88</v>
      </c>
      <c r="I287" s="3" t="n">
        <v>7.72</v>
      </c>
      <c r="J287" s="3" t="n">
        <v>112.78</v>
      </c>
    </row>
    <row r="288">
      <c r="A288" s="8" t="n">
        <v>44844</v>
      </c>
      <c r="B288" s="3" t="n">
        <v>18.23</v>
      </c>
      <c r="C288" s="3" t="n">
        <v>34.27</v>
      </c>
      <c r="D288" s="3" t="n">
        <v>73.98999999999999</v>
      </c>
      <c r="E288" s="3" t="n">
        <v>15.2</v>
      </c>
      <c r="F288" s="3" t="n">
        <v>28.23</v>
      </c>
      <c r="G288" s="3" t="n">
        <v>14.84</v>
      </c>
      <c r="H288" s="3" t="n">
        <v>30.73</v>
      </c>
      <c r="I288" s="3" t="n">
        <v>7.79</v>
      </c>
      <c r="J288" s="3" t="n">
        <v>112.08</v>
      </c>
    </row>
    <row r="289">
      <c r="A289" s="8" t="n">
        <v>44845</v>
      </c>
      <c r="B289" s="3" t="n">
        <v>19</v>
      </c>
      <c r="C289" s="3" t="n">
        <v>33.9</v>
      </c>
      <c r="D289" s="3" t="n">
        <v>73.48999999999999</v>
      </c>
      <c r="E289" s="3" t="n">
        <v>14.99</v>
      </c>
      <c r="F289" s="3" t="n">
        <v>27.44</v>
      </c>
      <c r="G289" s="3" t="n">
        <v>14.35</v>
      </c>
      <c r="H289" s="3" t="n">
        <v>29.95</v>
      </c>
      <c r="I289" s="3" t="n">
        <v>7.47</v>
      </c>
      <c r="J289" s="3" t="n">
        <v>110.89</v>
      </c>
    </row>
    <row r="290">
      <c r="A290" s="8" t="n">
        <v>44847</v>
      </c>
      <c r="B290" s="3" t="n">
        <v>19.77</v>
      </c>
      <c r="C290" s="3" t="n">
        <v>33.47</v>
      </c>
      <c r="D290" s="3" t="n">
        <v>72.18000000000001</v>
      </c>
      <c r="E290" s="3" t="n">
        <v>15.01</v>
      </c>
      <c r="F290" s="3" t="n">
        <v>28.17</v>
      </c>
      <c r="G290" s="3" t="n">
        <v>13.9</v>
      </c>
      <c r="H290" s="3" t="n">
        <v>29.18</v>
      </c>
      <c r="I290" s="3" t="n">
        <v>7.46</v>
      </c>
      <c r="J290" s="3" t="n">
        <v>110.26</v>
      </c>
    </row>
    <row r="291">
      <c r="A291" s="8" t="n">
        <v>44848</v>
      </c>
      <c r="B291" s="3" t="n">
        <v>19.3</v>
      </c>
      <c r="C291" s="3" t="n">
        <v>32.86</v>
      </c>
      <c r="D291" s="3" t="n">
        <v>69.83</v>
      </c>
      <c r="E291" s="3" t="n">
        <v>14.83</v>
      </c>
      <c r="F291" s="3" t="n">
        <v>27.5</v>
      </c>
      <c r="G291" s="3" t="n">
        <v>13.89</v>
      </c>
      <c r="H291" s="3" t="n">
        <v>28.54</v>
      </c>
      <c r="I291" s="3" t="n">
        <v>7.06</v>
      </c>
      <c r="J291" s="3" t="n">
        <v>108.22</v>
      </c>
    </row>
    <row r="292">
      <c r="A292" s="8" t="n">
        <v>44851</v>
      </c>
      <c r="B292" s="3" t="n">
        <v>20.04</v>
      </c>
      <c r="C292" s="3" t="n">
        <v>33.61</v>
      </c>
      <c r="D292" s="3" t="n">
        <v>70.67</v>
      </c>
      <c r="E292" s="3" t="n">
        <v>14.92</v>
      </c>
      <c r="F292" s="3" t="n">
        <v>28.04</v>
      </c>
      <c r="G292" s="3" t="n">
        <v>14.15</v>
      </c>
      <c r="H292" s="3" t="n">
        <v>29.09</v>
      </c>
      <c r="I292" s="3" t="n">
        <v>7.21</v>
      </c>
      <c r="J292" s="3" t="n">
        <v>109.9</v>
      </c>
    </row>
    <row r="293">
      <c r="A293" s="8" t="n">
        <v>44852</v>
      </c>
      <c r="B293" s="3" t="n">
        <v>20.44</v>
      </c>
      <c r="C293" s="3" t="n">
        <v>34.56</v>
      </c>
      <c r="D293" s="3" t="n">
        <v>71.95999999999999</v>
      </c>
      <c r="E293" s="3" t="n">
        <v>14.9</v>
      </c>
      <c r="F293" s="3" t="n">
        <v>28.81</v>
      </c>
      <c r="G293" s="3" t="n">
        <v>14</v>
      </c>
      <c r="H293" s="3" t="n">
        <v>29.47</v>
      </c>
      <c r="I293" s="3" t="n">
        <v>7.59</v>
      </c>
      <c r="J293" s="3" t="n">
        <v>111.94</v>
      </c>
    </row>
    <row r="294">
      <c r="A294" s="8" t="n">
        <v>44853</v>
      </c>
      <c r="B294" s="3" t="n">
        <v>20.7</v>
      </c>
      <c r="C294" s="3" t="n">
        <v>34.65</v>
      </c>
      <c r="D294" s="3" t="n">
        <v>71.11</v>
      </c>
      <c r="E294" s="3" t="n">
        <v>14.89</v>
      </c>
      <c r="F294" s="3" t="n">
        <v>28.99</v>
      </c>
      <c r="G294" s="3" t="n">
        <v>14.25</v>
      </c>
      <c r="H294" s="3" t="n">
        <v>29.35</v>
      </c>
      <c r="I294" s="3" t="n">
        <v>7.36</v>
      </c>
      <c r="J294" s="3" t="n">
        <v>112.35</v>
      </c>
    </row>
    <row r="295">
      <c r="A295" s="8" t="n">
        <v>44854</v>
      </c>
      <c r="B295" s="3" t="n">
        <v>20.7</v>
      </c>
      <c r="C295" s="3" t="n">
        <v>34.66</v>
      </c>
      <c r="D295" s="3" t="n">
        <v>72.02</v>
      </c>
      <c r="E295" s="3" t="n">
        <v>15.04</v>
      </c>
      <c r="F295" s="3" t="n">
        <v>29.42</v>
      </c>
      <c r="G295" s="3" t="n">
        <v>14</v>
      </c>
      <c r="H295" s="3" t="n">
        <v>28.69</v>
      </c>
      <c r="I295" s="3" t="n">
        <v>7.41</v>
      </c>
      <c r="J295" s="3" t="n">
        <v>112.9</v>
      </c>
    </row>
    <row r="296">
      <c r="A296" s="8" t="n">
        <v>44855</v>
      </c>
      <c r="B296" s="3" t="n">
        <v>21.26</v>
      </c>
      <c r="C296" s="3" t="n">
        <v>35.2</v>
      </c>
      <c r="D296" s="3" t="n">
        <v>74.13</v>
      </c>
      <c r="E296" s="3" t="n">
        <v>15.31</v>
      </c>
      <c r="F296" s="3" t="n">
        <v>29.16</v>
      </c>
      <c r="G296" s="3" t="n">
        <v>14.61</v>
      </c>
      <c r="H296" s="3" t="n">
        <v>29.06</v>
      </c>
      <c r="I296" s="3" t="n">
        <v>7.45</v>
      </c>
      <c r="J296" s="3" t="n">
        <v>116.43</v>
      </c>
    </row>
    <row r="297">
      <c r="A297" s="8" t="n">
        <v>44858</v>
      </c>
      <c r="B297" s="3" t="n">
        <v>21.05</v>
      </c>
      <c r="C297" s="3" t="n">
        <v>34.92</v>
      </c>
      <c r="D297" s="3" t="n">
        <v>71.93000000000001</v>
      </c>
      <c r="E297" s="3" t="n">
        <v>15.18</v>
      </c>
      <c r="F297" s="3" t="n">
        <v>28.69</v>
      </c>
      <c r="G297" s="3" t="n">
        <v>14.04</v>
      </c>
      <c r="H297" s="3" t="n">
        <v>28.59</v>
      </c>
      <c r="I297" s="3" t="n">
        <v>7.21</v>
      </c>
      <c r="J297" s="3" t="n">
        <v>112.14</v>
      </c>
    </row>
    <row r="298">
      <c r="A298" s="8" t="n">
        <v>44859</v>
      </c>
      <c r="B298" s="3" t="n">
        <v>20.58</v>
      </c>
      <c r="C298" s="3" t="n">
        <v>35.05</v>
      </c>
      <c r="D298" s="3" t="n">
        <v>71.93000000000001</v>
      </c>
      <c r="E298" s="3" t="n">
        <v>14.91</v>
      </c>
      <c r="F298" s="3" t="n">
        <v>28.24</v>
      </c>
      <c r="G298" s="3" t="n">
        <v>13.85</v>
      </c>
      <c r="H298" s="3" t="n">
        <v>28.04</v>
      </c>
      <c r="I298" s="3" t="n">
        <v>7</v>
      </c>
      <c r="J298" s="3" t="n">
        <v>110.48</v>
      </c>
    </row>
    <row r="299">
      <c r="A299" s="8" t="n">
        <v>44860</v>
      </c>
      <c r="B299" s="3" t="n">
        <v>20.17</v>
      </c>
      <c r="C299" s="3" t="n">
        <v>37.98</v>
      </c>
      <c r="D299" s="3" t="n">
        <v>73.53</v>
      </c>
      <c r="E299" s="3" t="n">
        <v>15.1</v>
      </c>
      <c r="F299" s="3" t="n">
        <v>28.04</v>
      </c>
      <c r="G299" s="3" t="n">
        <v>13.18</v>
      </c>
      <c r="H299" s="3" t="n">
        <v>27.31</v>
      </c>
      <c r="I299" s="3" t="n">
        <v>6.75</v>
      </c>
      <c r="J299" s="3" t="n">
        <v>108.78</v>
      </c>
    </row>
    <row r="300">
      <c r="A300" s="8" t="n">
        <v>44861</v>
      </c>
      <c r="B300" s="3" t="n">
        <v>20.96</v>
      </c>
      <c r="C300" s="3" t="n">
        <v>38.83</v>
      </c>
      <c r="D300" s="3" t="n">
        <v>70.91</v>
      </c>
      <c r="E300" s="3" t="n">
        <v>15.56</v>
      </c>
      <c r="F300" s="3" t="n">
        <v>29.18</v>
      </c>
      <c r="G300" s="3" t="n">
        <v>13.88</v>
      </c>
      <c r="H300" s="3" t="n">
        <v>28.3</v>
      </c>
      <c r="I300" s="3" t="n">
        <v>7.03</v>
      </c>
      <c r="J300" s="3" t="n">
        <v>110</v>
      </c>
    </row>
    <row r="301">
      <c r="A301" s="8" t="n">
        <v>44862</v>
      </c>
      <c r="B301" s="3" t="n">
        <v>21.24</v>
      </c>
      <c r="C301" s="3" t="n">
        <v>38.47</v>
      </c>
      <c r="D301" s="3" t="n">
        <v>67.45</v>
      </c>
      <c r="E301" s="3" t="n">
        <v>15.77</v>
      </c>
      <c r="F301" s="3" t="n">
        <v>29.32</v>
      </c>
      <c r="G301" s="3" t="n">
        <v>14.18</v>
      </c>
      <c r="H301" s="3" t="n">
        <v>28.88</v>
      </c>
      <c r="I301" s="3" t="n">
        <v>7.19</v>
      </c>
      <c r="J301" s="3" t="n">
        <v>113</v>
      </c>
    </row>
    <row r="302">
      <c r="A302" s="8" t="n">
        <v>44865</v>
      </c>
      <c r="B302" s="3" t="n">
        <v>22.14</v>
      </c>
      <c r="C302" s="3" t="n">
        <v>40.28</v>
      </c>
      <c r="D302" s="3" t="n">
        <v>67.13</v>
      </c>
      <c r="E302" s="3" t="n">
        <v>16</v>
      </c>
      <c r="F302" s="3" t="n">
        <v>29.69</v>
      </c>
      <c r="G302" s="3" t="n">
        <v>15.04</v>
      </c>
      <c r="H302" s="3" t="n">
        <v>30.9</v>
      </c>
      <c r="I302" s="3" t="n">
        <v>7.8</v>
      </c>
      <c r="J302" s="3" t="n">
        <v>112.15</v>
      </c>
    </row>
    <row r="303">
      <c r="A303" s="8" t="n">
        <v>44866</v>
      </c>
      <c r="B303" s="3" t="n">
        <v>21.85</v>
      </c>
      <c r="C303" s="3" t="n">
        <v>39.41</v>
      </c>
      <c r="D303" s="3" t="n">
        <v>69.17</v>
      </c>
      <c r="E303" s="3" t="n">
        <v>15.79</v>
      </c>
      <c r="F303" s="3" t="n">
        <v>29.7</v>
      </c>
      <c r="G303" s="3" t="n">
        <v>15.12</v>
      </c>
      <c r="H303" s="3" t="n">
        <v>30.47</v>
      </c>
      <c r="I303" s="3" t="n">
        <v>7.83</v>
      </c>
      <c r="J303" s="3" t="n">
        <v>112.81</v>
      </c>
    </row>
    <row r="304">
      <c r="A304" s="8" t="n">
        <v>44868</v>
      </c>
      <c r="B304" s="3" t="n">
        <v>21.82</v>
      </c>
      <c r="C304" s="3" t="n">
        <v>40.2</v>
      </c>
      <c r="D304" s="3" t="n">
        <v>67.15000000000001</v>
      </c>
      <c r="E304" s="3" t="n">
        <v>16.02</v>
      </c>
      <c r="F304" s="3" t="n">
        <v>29.59</v>
      </c>
      <c r="G304" s="3" t="n">
        <v>15.38</v>
      </c>
      <c r="H304" s="3" t="n">
        <v>30.47</v>
      </c>
      <c r="I304" s="3" t="n">
        <v>7.85</v>
      </c>
      <c r="J304" s="3" t="n">
        <v>113.1</v>
      </c>
    </row>
    <row r="305">
      <c r="A305" s="8" t="n">
        <v>44869</v>
      </c>
      <c r="B305" s="3" t="n">
        <v>20.46</v>
      </c>
      <c r="C305" s="3" t="n">
        <v>40.8</v>
      </c>
      <c r="D305" s="3" t="n">
        <v>72.25</v>
      </c>
      <c r="E305" s="3" t="n">
        <v>16.45</v>
      </c>
      <c r="F305" s="3" t="n">
        <v>29.78</v>
      </c>
      <c r="G305" s="3" t="n">
        <v>15.6</v>
      </c>
      <c r="H305" s="3" t="n">
        <v>29.18</v>
      </c>
      <c r="I305" s="3" t="n">
        <v>7.91</v>
      </c>
      <c r="J305" s="3" t="n">
        <v>114</v>
      </c>
    </row>
    <row r="306">
      <c r="A306" s="8" t="n">
        <v>44872</v>
      </c>
      <c r="B306" s="3" t="n">
        <v>20.22</v>
      </c>
      <c r="C306" s="3" t="n">
        <v>40.9</v>
      </c>
      <c r="D306" s="3" t="n">
        <v>71.87</v>
      </c>
      <c r="E306" s="3" t="n">
        <v>16.36</v>
      </c>
      <c r="F306" s="3" t="n">
        <v>30.09</v>
      </c>
      <c r="G306" s="3" t="n">
        <v>15.3</v>
      </c>
      <c r="H306" s="3" t="n">
        <v>28.27</v>
      </c>
      <c r="I306" s="3" t="n">
        <v>7.59</v>
      </c>
      <c r="J306" s="3" t="n">
        <v>111.22</v>
      </c>
    </row>
    <row r="307">
      <c r="A307" s="8" t="n">
        <v>44873</v>
      </c>
      <c r="B307" s="3" t="n">
        <v>20.78</v>
      </c>
      <c r="C307" s="3" t="n">
        <v>40.8</v>
      </c>
      <c r="D307" s="3" t="n">
        <v>74.05</v>
      </c>
      <c r="E307" s="3" t="n">
        <v>16.74</v>
      </c>
      <c r="F307" s="3" t="n">
        <v>30.36</v>
      </c>
      <c r="G307" s="3" t="n">
        <v>15.33</v>
      </c>
      <c r="H307" s="3" t="n">
        <v>27.82</v>
      </c>
      <c r="I307" s="3" t="n">
        <v>7.58</v>
      </c>
      <c r="J307" s="3" t="n">
        <v>112.3</v>
      </c>
    </row>
    <row r="308">
      <c r="A308" s="8" t="n">
        <v>44874</v>
      </c>
      <c r="B308" s="3" t="n">
        <v>20.49</v>
      </c>
      <c r="C308" s="3" t="n">
        <v>40.6</v>
      </c>
      <c r="D308" s="3" t="n">
        <v>73.15000000000001</v>
      </c>
      <c r="E308" s="3" t="n">
        <v>16.48</v>
      </c>
      <c r="F308" s="3" t="n">
        <v>31.25</v>
      </c>
      <c r="G308" s="3" t="n">
        <v>15.24</v>
      </c>
      <c r="H308" s="3" t="n">
        <v>27.43</v>
      </c>
      <c r="I308" s="3" t="n">
        <v>7.39</v>
      </c>
      <c r="J308" s="3" t="n">
        <v>109.75</v>
      </c>
    </row>
    <row r="309">
      <c r="A309" s="8" t="n">
        <v>44875</v>
      </c>
      <c r="B309" s="3" t="n">
        <v>19.6</v>
      </c>
      <c r="C309" s="3" t="n">
        <v>39.23</v>
      </c>
      <c r="D309" s="3" t="n">
        <v>74.55</v>
      </c>
      <c r="E309" s="3" t="n">
        <v>15.99</v>
      </c>
      <c r="F309" s="3" t="n">
        <v>29.95</v>
      </c>
      <c r="G309" s="3" t="n">
        <v>13.31</v>
      </c>
      <c r="H309" s="3" t="n">
        <v>25.13</v>
      </c>
      <c r="I309" s="3" t="n">
        <v>6.38</v>
      </c>
      <c r="J309" s="3" t="n">
        <v>106.1</v>
      </c>
    </row>
    <row r="310">
      <c r="A310" s="8" t="n">
        <v>44876</v>
      </c>
      <c r="B310" s="3" t="n">
        <v>19.96</v>
      </c>
      <c r="C310" s="3" t="n">
        <v>39.99</v>
      </c>
      <c r="D310" s="3" t="n">
        <v>82.3</v>
      </c>
      <c r="E310" s="3" t="n">
        <v>16.09</v>
      </c>
      <c r="F310" s="3" t="n">
        <v>30.38</v>
      </c>
      <c r="G310" s="3" t="n">
        <v>12.58</v>
      </c>
      <c r="H310" s="3" t="n">
        <v>24.52</v>
      </c>
      <c r="I310" s="3" t="n">
        <v>6.29</v>
      </c>
      <c r="J310" s="3" t="n">
        <v>108.55</v>
      </c>
    </row>
    <row r="311">
      <c r="A311" s="8" t="n">
        <v>44879</v>
      </c>
      <c r="B311" s="3" t="n">
        <v>19.98</v>
      </c>
      <c r="C311" s="3" t="n">
        <v>40.66</v>
      </c>
      <c r="D311" s="3" t="n">
        <v>83.31</v>
      </c>
      <c r="E311" s="3" t="n">
        <v>15.95</v>
      </c>
      <c r="F311" s="3" t="n">
        <v>30.99</v>
      </c>
      <c r="G311" s="3" t="n">
        <v>12.47</v>
      </c>
      <c r="H311" s="3" t="n">
        <v>25.19</v>
      </c>
      <c r="I311" s="3" t="n">
        <v>6.4</v>
      </c>
      <c r="J311" s="3" t="n">
        <v>109.24</v>
      </c>
    </row>
    <row r="312">
      <c r="A312" s="8" t="n">
        <v>44881</v>
      </c>
      <c r="B312" s="3" t="n">
        <v>19.2</v>
      </c>
      <c r="C312" s="3" t="n">
        <v>38.71</v>
      </c>
      <c r="D312" s="3" t="n">
        <v>82.44</v>
      </c>
      <c r="E312" s="3" t="n">
        <v>15.44</v>
      </c>
      <c r="F312" s="3" t="n">
        <v>30.04</v>
      </c>
      <c r="G312" s="3" t="n">
        <v>12.4</v>
      </c>
      <c r="H312" s="3" t="n">
        <v>24.1</v>
      </c>
      <c r="I312" s="3" t="n">
        <v>5.7</v>
      </c>
      <c r="J312" s="3" t="n">
        <v>106.04</v>
      </c>
    </row>
    <row r="313">
      <c r="A313" s="8" t="n">
        <v>44882</v>
      </c>
      <c r="B313" s="3" t="n">
        <v>18.88</v>
      </c>
      <c r="C313" s="3" t="n">
        <v>39.55</v>
      </c>
      <c r="D313" s="3" t="n">
        <v>83.09999999999999</v>
      </c>
      <c r="E313" s="3" t="n">
        <v>15.4</v>
      </c>
      <c r="F313" s="3" t="n">
        <v>29.94</v>
      </c>
      <c r="G313" s="3" t="n">
        <v>11.65</v>
      </c>
      <c r="H313" s="3" t="n">
        <v>24.25</v>
      </c>
      <c r="I313" s="3" t="n">
        <v>5.5</v>
      </c>
      <c r="J313" s="3" t="n">
        <v>105.69</v>
      </c>
    </row>
    <row r="314">
      <c r="A314" s="8" t="n">
        <v>44883</v>
      </c>
      <c r="B314" s="3" t="n">
        <v>19.26</v>
      </c>
      <c r="C314" s="3" t="n">
        <v>39.28</v>
      </c>
      <c r="D314" s="3" t="n">
        <v>80.83</v>
      </c>
      <c r="E314" s="3" t="n">
        <v>15.62</v>
      </c>
      <c r="F314" s="3" t="n">
        <v>30.16</v>
      </c>
      <c r="G314" s="3" t="n">
        <v>11.87</v>
      </c>
      <c r="H314" s="3" t="n">
        <v>24.24</v>
      </c>
      <c r="I314" s="3" t="n">
        <v>5.68</v>
      </c>
      <c r="J314" s="3" t="n">
        <v>104.85</v>
      </c>
    </row>
    <row r="315">
      <c r="A315" s="8" t="n">
        <v>44886</v>
      </c>
      <c r="B315" s="3" t="n">
        <v>19.83</v>
      </c>
      <c r="C315" s="3" t="n">
        <v>39.49</v>
      </c>
      <c r="D315" s="3" t="n">
        <v>79.92</v>
      </c>
      <c r="E315" s="3" t="n">
        <v>15.67</v>
      </c>
      <c r="F315" s="3" t="n">
        <v>30.46</v>
      </c>
      <c r="G315" s="3" t="n">
        <v>12.03</v>
      </c>
      <c r="H315" s="3" t="n">
        <v>25.11</v>
      </c>
      <c r="I315" s="3" t="n">
        <v>5.6</v>
      </c>
      <c r="J315" s="3" t="n">
        <v>106.08</v>
      </c>
    </row>
    <row r="316">
      <c r="A316" s="8" t="n">
        <v>44887</v>
      </c>
      <c r="B316" s="3" t="n">
        <v>19.51</v>
      </c>
      <c r="C316" s="3" t="n">
        <v>38.9</v>
      </c>
      <c r="D316" s="3" t="n">
        <v>80.14</v>
      </c>
      <c r="E316" s="3" t="n">
        <v>15.66</v>
      </c>
      <c r="F316" s="3" t="n">
        <v>30.27</v>
      </c>
      <c r="G316" s="3" t="n">
        <v>11.99</v>
      </c>
      <c r="H316" s="3" t="n">
        <v>24.7</v>
      </c>
      <c r="I316" s="3" t="n">
        <v>5.4</v>
      </c>
      <c r="J316" s="3" t="n">
        <v>105.07</v>
      </c>
    </row>
    <row r="317">
      <c r="A317" s="8" t="n">
        <v>44888</v>
      </c>
      <c r="B317" s="3" t="n">
        <v>19.38</v>
      </c>
      <c r="C317" s="3" t="n">
        <v>38.94</v>
      </c>
      <c r="D317" s="3" t="n">
        <v>80.93000000000001</v>
      </c>
      <c r="E317" s="3" t="n">
        <v>15.72</v>
      </c>
      <c r="F317" s="3" t="n">
        <v>31</v>
      </c>
      <c r="G317" s="3" t="n">
        <v>11.99</v>
      </c>
      <c r="H317" s="3" t="n">
        <v>24.22</v>
      </c>
      <c r="I317" s="3" t="n">
        <v>5.33</v>
      </c>
      <c r="J317" s="3" t="n">
        <v>105.24</v>
      </c>
    </row>
    <row r="318">
      <c r="A318" s="8" t="n">
        <v>44889</v>
      </c>
      <c r="B318" s="3" t="n">
        <v>19.96</v>
      </c>
      <c r="C318" s="3" t="n">
        <v>39.76</v>
      </c>
      <c r="D318" s="3" t="n">
        <v>81.45</v>
      </c>
      <c r="E318" s="3" t="n">
        <v>16.04</v>
      </c>
      <c r="F318" s="3" t="n">
        <v>31.71</v>
      </c>
      <c r="G318" s="3" t="n">
        <v>12.66</v>
      </c>
      <c r="H318" s="3" t="n">
        <v>25.57</v>
      </c>
      <c r="I318" s="3" t="n">
        <v>5.59</v>
      </c>
      <c r="J318" s="3" t="n">
        <v>108.2</v>
      </c>
    </row>
    <row r="319">
      <c r="A319" s="8" t="n">
        <v>44890</v>
      </c>
      <c r="B319" s="3" t="n">
        <v>18.91</v>
      </c>
      <c r="C319" s="3" t="n">
        <v>39.1</v>
      </c>
      <c r="D319" s="3" t="n">
        <v>80.90000000000001</v>
      </c>
      <c r="E319" s="3" t="n">
        <v>15.77</v>
      </c>
      <c r="F319" s="3" t="n">
        <v>30.7</v>
      </c>
      <c r="G319" s="3" t="n">
        <v>12.05</v>
      </c>
      <c r="H319" s="3" t="n">
        <v>23.97</v>
      </c>
      <c r="I319" s="3" t="n">
        <v>5.3</v>
      </c>
      <c r="J319" s="3" t="n">
        <v>105.07</v>
      </c>
    </row>
    <row r="320">
      <c r="A320" s="8" t="n">
        <v>44893</v>
      </c>
      <c r="B320" s="3" t="n">
        <v>19.6</v>
      </c>
      <c r="C320" s="3" t="n">
        <v>37.5</v>
      </c>
      <c r="D320" s="3" t="n">
        <v>81.3</v>
      </c>
      <c r="E320" s="3" t="n">
        <v>15.91</v>
      </c>
      <c r="F320" s="3" t="n">
        <v>30.55</v>
      </c>
      <c r="G320" s="3" t="n">
        <v>12.08</v>
      </c>
      <c r="H320" s="3" t="n">
        <v>22.91</v>
      </c>
      <c r="I320" s="3" t="n">
        <v>5.14</v>
      </c>
      <c r="J320" s="3" t="n">
        <v>105.15</v>
      </c>
    </row>
    <row r="321">
      <c r="A321" s="8" t="n">
        <v>44894</v>
      </c>
      <c r="B321" s="3" t="n">
        <v>19.46</v>
      </c>
      <c r="C321" s="3" t="n">
        <v>37.71</v>
      </c>
      <c r="D321" s="3" t="n">
        <v>84.44</v>
      </c>
      <c r="E321" s="3" t="n">
        <v>15.76</v>
      </c>
      <c r="F321" s="3" t="n">
        <v>30.89</v>
      </c>
      <c r="G321" s="3" t="n">
        <v>12.55</v>
      </c>
      <c r="H321" s="3" t="n">
        <v>22.96</v>
      </c>
      <c r="I321" s="3" t="n">
        <v>5.19</v>
      </c>
      <c r="J321" s="3" t="n">
        <v>107.29</v>
      </c>
    </row>
    <row r="322">
      <c r="A322" s="8" t="n">
        <v>44895</v>
      </c>
      <c r="B322" s="3" t="n">
        <v>19.46</v>
      </c>
      <c r="C322" s="3" t="n">
        <v>39</v>
      </c>
      <c r="D322" s="3" t="n">
        <v>85.70999999999999</v>
      </c>
      <c r="E322" s="3" t="n">
        <v>15.92</v>
      </c>
      <c r="F322" s="3" t="n">
        <v>31.32</v>
      </c>
      <c r="G322" s="3" t="n">
        <v>12.73</v>
      </c>
      <c r="H322" s="3" t="n">
        <v>23.15</v>
      </c>
      <c r="I322" s="3" t="n">
        <v>5.2</v>
      </c>
      <c r="J322" s="3" t="n">
        <v>108.58</v>
      </c>
    </row>
    <row r="323">
      <c r="A323" s="8" t="n">
        <v>44896</v>
      </c>
      <c r="B323" s="3" t="n">
        <v>19.11</v>
      </c>
      <c r="C323" s="3" t="n">
        <v>38.31</v>
      </c>
      <c r="D323" s="3" t="n">
        <v>86.18000000000001</v>
      </c>
      <c r="E323" s="3" t="n">
        <v>16.08</v>
      </c>
      <c r="F323" s="3" t="n">
        <v>32.05</v>
      </c>
      <c r="G323" s="3" t="n">
        <v>12.41</v>
      </c>
      <c r="H323" s="3" t="n">
        <v>22.42</v>
      </c>
      <c r="I323" s="3" t="n">
        <v>4.91</v>
      </c>
      <c r="J323" s="3" t="n">
        <v>107.06</v>
      </c>
    </row>
    <row r="324">
      <c r="A324" s="8" t="n">
        <v>44897</v>
      </c>
      <c r="B324" s="3" t="n">
        <v>19.24</v>
      </c>
      <c r="C324" s="3" t="n">
        <v>38.66</v>
      </c>
      <c r="D324" s="3" t="n">
        <v>86.8</v>
      </c>
      <c r="E324" s="3" t="n">
        <v>16.33</v>
      </c>
      <c r="F324" s="3" t="n">
        <v>32.56</v>
      </c>
      <c r="G324" s="3" t="n">
        <v>12.7</v>
      </c>
      <c r="H324" s="3" t="n">
        <v>22.31</v>
      </c>
      <c r="I324" s="3" t="n">
        <v>5.23</v>
      </c>
      <c r="J324" s="3" t="n">
        <v>107.95</v>
      </c>
    </row>
    <row r="325">
      <c r="A325" s="8" t="n">
        <v>44900</v>
      </c>
      <c r="B325" s="3" t="n">
        <v>18.8</v>
      </c>
      <c r="C325" s="3" t="n">
        <v>37.6</v>
      </c>
      <c r="D325" s="3" t="n">
        <v>86.70999999999999</v>
      </c>
      <c r="E325" s="3" t="n">
        <v>16.02</v>
      </c>
      <c r="F325" s="3" t="n">
        <v>31.83</v>
      </c>
      <c r="G325" s="3" t="n">
        <v>12.15</v>
      </c>
      <c r="H325" s="3" t="n">
        <v>20.57</v>
      </c>
      <c r="I325" s="3" t="n">
        <v>4.99</v>
      </c>
      <c r="J325" s="3" t="n">
        <v>105.63</v>
      </c>
    </row>
    <row r="326">
      <c r="A326" s="8" t="n">
        <v>44901</v>
      </c>
      <c r="B326" s="3" t="n">
        <v>18.78</v>
      </c>
      <c r="C326" s="3" t="n">
        <v>37.71</v>
      </c>
      <c r="D326" s="3" t="n">
        <v>87.97</v>
      </c>
      <c r="E326" s="3" t="n">
        <v>16.05</v>
      </c>
      <c r="F326" s="3" t="n">
        <v>32.02</v>
      </c>
      <c r="G326" s="3" t="n">
        <v>12.18</v>
      </c>
      <c r="H326" s="3" t="n">
        <v>21.61</v>
      </c>
      <c r="I326" s="3" t="n">
        <v>5.03</v>
      </c>
      <c r="J326" s="3" t="n">
        <v>106.74</v>
      </c>
    </row>
    <row r="327">
      <c r="A327" s="8" t="n">
        <v>44902</v>
      </c>
      <c r="B327" s="3" t="n">
        <v>18.7</v>
      </c>
      <c r="C327" s="3" t="n">
        <v>37.26</v>
      </c>
      <c r="D327" s="3" t="n">
        <v>84.84</v>
      </c>
      <c r="E327" s="3" t="n">
        <v>16</v>
      </c>
      <c r="F327" s="3" t="n">
        <v>31.66</v>
      </c>
      <c r="G327" s="3" t="n">
        <v>12.25</v>
      </c>
      <c r="H327" s="3" t="n">
        <v>22.04</v>
      </c>
      <c r="I327" s="3" t="n">
        <v>5.12</v>
      </c>
      <c r="J327" s="3" t="n">
        <v>105.59</v>
      </c>
    </row>
    <row r="328">
      <c r="A328" s="8" t="n">
        <v>44903</v>
      </c>
      <c r="B328" s="3" t="n">
        <v>17.55</v>
      </c>
      <c r="C328" s="3" t="n">
        <v>37.2</v>
      </c>
      <c r="D328" s="3" t="n">
        <v>85.88</v>
      </c>
      <c r="E328" s="3" t="n">
        <v>15.7</v>
      </c>
      <c r="F328" s="3" t="n">
        <v>31.47</v>
      </c>
      <c r="G328" s="3" t="n">
        <v>11.74</v>
      </c>
      <c r="H328" s="3" t="n">
        <v>21.13</v>
      </c>
      <c r="I328" s="3" t="n">
        <v>4.98</v>
      </c>
      <c r="J328" s="3" t="n">
        <v>103.57</v>
      </c>
    </row>
    <row r="329">
      <c r="A329" s="8" t="n">
        <v>44904</v>
      </c>
      <c r="B329" s="3" t="n">
        <v>17.64</v>
      </c>
      <c r="C329" s="3" t="n">
        <v>37.1</v>
      </c>
      <c r="D329" s="3" t="n">
        <v>88.73999999999999</v>
      </c>
      <c r="E329" s="3" t="n">
        <v>15.51</v>
      </c>
      <c r="F329" s="3" t="n">
        <v>31.72</v>
      </c>
      <c r="G329" s="3" t="n">
        <v>11.74</v>
      </c>
      <c r="H329" s="3" t="n">
        <v>20.74</v>
      </c>
      <c r="I329" s="3" t="n">
        <v>4.73</v>
      </c>
      <c r="J329" s="3" t="n">
        <v>103.9</v>
      </c>
    </row>
    <row r="330">
      <c r="A330" s="8" t="n">
        <v>44907</v>
      </c>
      <c r="B330" s="3" t="n">
        <v>17.43</v>
      </c>
      <c r="C330" s="3" t="n">
        <v>36.07</v>
      </c>
      <c r="D330" s="3" t="n">
        <v>86.09</v>
      </c>
      <c r="E330" s="3" t="n">
        <v>15.24</v>
      </c>
      <c r="F330" s="3" t="n">
        <v>31.25</v>
      </c>
      <c r="G330" s="3" t="n">
        <v>11.45</v>
      </c>
      <c r="H330" s="3" t="n">
        <v>20.47</v>
      </c>
      <c r="I330" s="3" t="n">
        <v>4.52</v>
      </c>
      <c r="J330" s="3" t="n">
        <v>101.8</v>
      </c>
    </row>
    <row r="331">
      <c r="A331" s="8" t="n">
        <v>44908</v>
      </c>
      <c r="B331" s="3" t="n">
        <v>16.52</v>
      </c>
      <c r="C331" s="3" t="n">
        <v>35.79</v>
      </c>
      <c r="D331" s="3" t="n">
        <v>86.16</v>
      </c>
      <c r="E331" s="3" t="n">
        <v>15.28</v>
      </c>
      <c r="F331" s="3" t="n">
        <v>31.01</v>
      </c>
      <c r="G331" s="3" t="n">
        <v>11.39</v>
      </c>
      <c r="H331" s="3" t="n">
        <v>19.92</v>
      </c>
      <c r="I331" s="3" t="n">
        <v>4.39</v>
      </c>
      <c r="J331" s="3" t="n">
        <v>100.3</v>
      </c>
    </row>
    <row r="332">
      <c r="A332" s="8" t="n">
        <v>44909</v>
      </c>
      <c r="B332" s="3" t="n">
        <v>16.91</v>
      </c>
      <c r="C332" s="3" t="n">
        <v>37.06</v>
      </c>
      <c r="D332" s="3" t="n">
        <v>86.89</v>
      </c>
      <c r="E332" s="3" t="n">
        <v>15.13</v>
      </c>
      <c r="F332" s="3" t="n">
        <v>31.51</v>
      </c>
      <c r="G332" s="3" t="n">
        <v>11.78</v>
      </c>
      <c r="H332" s="3" t="n">
        <v>20.45</v>
      </c>
      <c r="I332" s="3" t="n">
        <v>4.54</v>
      </c>
      <c r="J332" s="3" t="n">
        <v>100.7</v>
      </c>
    </row>
    <row r="333">
      <c r="A333" s="8" t="n">
        <v>44910</v>
      </c>
      <c r="B333" s="3" t="n">
        <v>17.14</v>
      </c>
      <c r="C333" s="3" t="n">
        <v>37.08</v>
      </c>
      <c r="D333" s="3" t="n">
        <v>87.17</v>
      </c>
      <c r="E333" s="3" t="n">
        <v>15</v>
      </c>
      <c r="F333" s="3" t="n">
        <v>32.21</v>
      </c>
      <c r="G333" s="3" t="n">
        <v>11.53</v>
      </c>
      <c r="H333" s="3" t="n">
        <v>19.94</v>
      </c>
      <c r="I333" s="3" t="n">
        <v>4.63</v>
      </c>
      <c r="J333" s="3" t="n">
        <v>100.5</v>
      </c>
    </row>
    <row r="334">
      <c r="A334" s="8" t="n">
        <v>44911</v>
      </c>
      <c r="B334" s="3" t="n">
        <v>17.15</v>
      </c>
      <c r="C334" s="3" t="n">
        <v>37.45</v>
      </c>
      <c r="D334" s="3" t="n">
        <v>85.68000000000001</v>
      </c>
      <c r="E334" s="3" t="n">
        <v>14.85</v>
      </c>
      <c r="F334" s="3" t="n">
        <v>32.33</v>
      </c>
      <c r="G334" s="3" t="n">
        <v>11.36</v>
      </c>
      <c r="H334" s="3" t="n">
        <v>19.44</v>
      </c>
      <c r="I334" s="3" t="n">
        <v>4.59</v>
      </c>
      <c r="J334" s="3" t="n">
        <v>99.40000000000001</v>
      </c>
    </row>
    <row r="335">
      <c r="A335" s="8" t="n">
        <v>44914</v>
      </c>
      <c r="B335" s="3" t="n">
        <v>17.62</v>
      </c>
      <c r="C335" s="3" t="n">
        <v>38.12</v>
      </c>
      <c r="D335" s="3" t="n">
        <v>85.37</v>
      </c>
      <c r="E335" s="3" t="n">
        <v>15.23</v>
      </c>
      <c r="F335" s="3" t="n">
        <v>32.35</v>
      </c>
      <c r="G335" s="3" t="n">
        <v>12.09</v>
      </c>
      <c r="H335" s="3" t="n">
        <v>20.38</v>
      </c>
      <c r="I335" s="3" t="n">
        <v>4.59</v>
      </c>
      <c r="J335" s="3" t="n">
        <v>101.37</v>
      </c>
    </row>
    <row r="336">
      <c r="A336" s="8" t="n">
        <v>44915</v>
      </c>
      <c r="B336" s="3" t="n">
        <v>18.33</v>
      </c>
      <c r="C336" s="3" t="n">
        <v>38.43</v>
      </c>
      <c r="D336" s="3" t="n">
        <v>85.75</v>
      </c>
      <c r="E336" s="3" t="n">
        <v>14.52</v>
      </c>
      <c r="F336" s="3" t="n">
        <v>32.66</v>
      </c>
      <c r="G336" s="3" t="n">
        <v>12.62</v>
      </c>
      <c r="H336" s="3" t="n">
        <v>21.24</v>
      </c>
      <c r="I336" s="3" t="n">
        <v>4.9</v>
      </c>
      <c r="J336" s="3" t="n">
        <v>103.55</v>
      </c>
    </row>
    <row r="337">
      <c r="A337" s="8" t="n">
        <v>44916</v>
      </c>
      <c r="B337" s="3" t="n">
        <v>18.53</v>
      </c>
      <c r="C337" s="3" t="n">
        <v>38.4</v>
      </c>
      <c r="D337" s="3" t="n">
        <v>86.23999999999999</v>
      </c>
      <c r="E337" s="3" t="n">
        <v>14.35</v>
      </c>
      <c r="F337" s="3" t="n">
        <v>33.46</v>
      </c>
      <c r="G337" s="3" t="n">
        <v>12.56</v>
      </c>
      <c r="H337" s="3" t="n">
        <v>20.87</v>
      </c>
      <c r="I337" s="3" t="n">
        <v>5.12</v>
      </c>
      <c r="J337" s="3" t="n">
        <v>103.87</v>
      </c>
    </row>
    <row r="338">
      <c r="A338" s="8" t="n">
        <v>44917</v>
      </c>
      <c r="B338" s="3" t="n">
        <v>18.56</v>
      </c>
      <c r="C338" s="3" t="n">
        <v>38.94</v>
      </c>
      <c r="D338" s="3" t="n">
        <v>85.75</v>
      </c>
      <c r="E338" s="3" t="n">
        <v>14.42</v>
      </c>
      <c r="F338" s="3" t="n">
        <v>33.99</v>
      </c>
      <c r="G338" s="3" t="n">
        <v>12.32</v>
      </c>
      <c r="H338" s="3" t="n">
        <v>20.65</v>
      </c>
      <c r="I338" s="3" t="n">
        <v>5.09</v>
      </c>
      <c r="J338" s="3" t="n">
        <v>103.93</v>
      </c>
    </row>
    <row r="339">
      <c r="A339" s="8" t="n">
        <v>44918</v>
      </c>
      <c r="B339" s="3" t="n">
        <v>19.15</v>
      </c>
      <c r="C339" s="3" t="n">
        <v>38.5</v>
      </c>
      <c r="D339" s="3" t="n">
        <v>86.31999999999999</v>
      </c>
      <c r="E339" s="3" t="n">
        <v>14.62</v>
      </c>
      <c r="F339" s="3" t="n">
        <v>33.59</v>
      </c>
      <c r="G339" s="3" t="n">
        <v>13.35</v>
      </c>
      <c r="H339" s="3" t="n">
        <v>21.88</v>
      </c>
      <c r="I339" s="3" t="n">
        <v>5.28</v>
      </c>
      <c r="J339" s="3" t="n">
        <v>106</v>
      </c>
    </row>
    <row r="340">
      <c r="A340" s="8" t="n">
        <v>44921</v>
      </c>
      <c r="B340" s="3" t="n">
        <v>18.5</v>
      </c>
      <c r="C340" s="3" t="n">
        <v>38.19</v>
      </c>
      <c r="D340" s="3" t="n">
        <v>87.11</v>
      </c>
      <c r="E340" s="3" t="n">
        <v>14.52</v>
      </c>
      <c r="F340" s="3" t="n">
        <v>33.25</v>
      </c>
      <c r="G340" s="3" t="n">
        <v>13.42</v>
      </c>
      <c r="H340" s="3" t="n">
        <v>20.71</v>
      </c>
      <c r="I340" s="3" t="n">
        <v>5.18</v>
      </c>
      <c r="J340" s="3" t="n">
        <v>105.15</v>
      </c>
    </row>
    <row r="341">
      <c r="A341" s="8" t="n">
        <v>44922</v>
      </c>
      <c r="B341" s="3" t="n">
        <v>18.05</v>
      </c>
      <c r="C341" s="3" t="n">
        <v>38.01</v>
      </c>
      <c r="D341" s="3" t="n">
        <v>89.19</v>
      </c>
      <c r="E341" s="3" t="n">
        <v>14.52</v>
      </c>
      <c r="F341" s="3" t="n">
        <v>33.2</v>
      </c>
      <c r="G341" s="3" t="n">
        <v>12.95</v>
      </c>
      <c r="H341" s="3" t="n">
        <v>20.38</v>
      </c>
      <c r="I341" s="3" t="n">
        <v>5.01</v>
      </c>
      <c r="J341" s="3" t="n">
        <v>104.9</v>
      </c>
    </row>
    <row r="342">
      <c r="A342" s="8" t="n">
        <v>44923</v>
      </c>
      <c r="B342" s="3" t="n">
        <v>18.47</v>
      </c>
      <c r="C342" s="3" t="n">
        <v>38.7</v>
      </c>
      <c r="D342" s="3" t="n">
        <v>88.98999999999999</v>
      </c>
      <c r="E342" s="3" t="n">
        <v>14.55</v>
      </c>
      <c r="F342" s="3" t="n">
        <v>33.63</v>
      </c>
      <c r="G342" s="3" t="n">
        <v>13.4</v>
      </c>
      <c r="H342" s="3" t="n">
        <v>20.84</v>
      </c>
      <c r="I342" s="3" t="n">
        <v>5.22</v>
      </c>
      <c r="J342" s="3" t="n">
        <v>106.8</v>
      </c>
    </row>
    <row r="343">
      <c r="A343" s="8" t="n">
        <v>44924</v>
      </c>
      <c r="B343" s="3" t="n">
        <v>18.61</v>
      </c>
      <c r="C343" s="3" t="n">
        <v>38.51</v>
      </c>
      <c r="D343" s="3" t="n">
        <v>88.88</v>
      </c>
      <c r="E343" s="3" t="n">
        <v>14.52</v>
      </c>
      <c r="F343" s="3" t="n">
        <v>33.71</v>
      </c>
      <c r="G343" s="3" t="n">
        <v>13.21</v>
      </c>
      <c r="H343" s="3" t="n">
        <v>20.48</v>
      </c>
      <c r="I343" s="3" t="n">
        <v>5.08</v>
      </c>
      <c r="J343" s="3" t="n">
        <v>105.95</v>
      </c>
    </row>
    <row r="344">
      <c r="A344" s="8" t="n">
        <v>44928</v>
      </c>
      <c r="B344" s="3" t="n">
        <v>17.66</v>
      </c>
      <c r="C344" s="3" t="n">
        <v>38.1</v>
      </c>
      <c r="D344" s="3" t="n">
        <v>89.40000000000001</v>
      </c>
      <c r="E344" s="3" t="n">
        <v>14.19</v>
      </c>
      <c r="F344" s="3" t="n">
        <v>33.39</v>
      </c>
      <c r="G344" s="3" t="n">
        <v>12.25</v>
      </c>
      <c r="H344" s="3" t="n">
        <v>19.33</v>
      </c>
      <c r="I344" s="3" t="n">
        <v>4.64</v>
      </c>
      <c r="J344" s="3" t="n">
        <v>102.63</v>
      </c>
    </row>
    <row r="345">
      <c r="A345" s="8" t="n">
        <v>44929</v>
      </c>
      <c r="B345" s="3" t="n">
        <v>17.26</v>
      </c>
      <c r="C345" s="3" t="n">
        <v>37.15</v>
      </c>
      <c r="D345" s="3" t="n">
        <v>89.23999999999999</v>
      </c>
      <c r="E345" s="3" t="n">
        <v>14.17</v>
      </c>
      <c r="F345" s="3" t="n">
        <v>32.35</v>
      </c>
      <c r="G345" s="3" t="n">
        <v>11.84</v>
      </c>
      <c r="H345" s="3" t="n">
        <v>18.87</v>
      </c>
      <c r="I345" s="3" t="n">
        <v>4.51</v>
      </c>
      <c r="J345" s="3" t="n">
        <v>100.48</v>
      </c>
    </row>
    <row r="346">
      <c r="A346" s="8" t="n">
        <v>44930</v>
      </c>
      <c r="B346" s="3" t="n">
        <v>17.52</v>
      </c>
      <c r="C346" s="3" t="n">
        <v>37.4</v>
      </c>
      <c r="D346" s="3" t="n">
        <v>89.40000000000001</v>
      </c>
      <c r="E346" s="3" t="n">
        <v>14.25</v>
      </c>
      <c r="F346" s="3" t="n">
        <v>32.51</v>
      </c>
      <c r="G346" s="3" t="n">
        <v>11.93</v>
      </c>
      <c r="H346" s="3" t="n">
        <v>18.99</v>
      </c>
      <c r="I346" s="3" t="n">
        <v>4.58</v>
      </c>
      <c r="J346" s="3" t="n">
        <v>101.92</v>
      </c>
    </row>
    <row r="347">
      <c r="A347" s="8" t="n">
        <v>44931</v>
      </c>
      <c r="B347" s="3" t="n">
        <v>17.64</v>
      </c>
      <c r="C347" s="3" t="n">
        <v>37.48</v>
      </c>
      <c r="D347" s="3" t="n">
        <v>90.90000000000001</v>
      </c>
      <c r="E347" s="3" t="n">
        <v>14.29</v>
      </c>
      <c r="F347" s="3" t="n">
        <v>32.58</v>
      </c>
      <c r="G347" s="3" t="n">
        <v>12.3</v>
      </c>
      <c r="H347" s="3" t="n">
        <v>18.7</v>
      </c>
      <c r="I347" s="3" t="n">
        <v>4.77</v>
      </c>
      <c r="J347" s="3" t="n">
        <v>104.27</v>
      </c>
    </row>
    <row r="348">
      <c r="A348" s="8" t="n">
        <v>44932</v>
      </c>
      <c r="B348" s="3" t="n">
        <v>17.8</v>
      </c>
      <c r="C348" s="3" t="n">
        <v>38.03</v>
      </c>
      <c r="D348" s="3" t="n">
        <v>92.34</v>
      </c>
      <c r="E348" s="3" t="n">
        <v>14.32</v>
      </c>
      <c r="F348" s="3" t="n">
        <v>33.53</v>
      </c>
      <c r="G348" s="3" t="n">
        <v>12.59</v>
      </c>
      <c r="H348" s="3" t="n">
        <v>19.39</v>
      </c>
      <c r="I348" s="3" t="n">
        <v>4.72</v>
      </c>
      <c r="J348" s="3" t="n">
        <v>105.5</v>
      </c>
    </row>
    <row r="349">
      <c r="A349" s="8" t="n">
        <v>44935</v>
      </c>
      <c r="B349" s="3" t="n">
        <v>17.72</v>
      </c>
      <c r="C349" s="3" t="n">
        <v>37.92</v>
      </c>
      <c r="D349" s="3" t="n">
        <v>92.44</v>
      </c>
      <c r="E349" s="3" t="n">
        <v>14.4</v>
      </c>
      <c r="F349" s="3" t="n">
        <v>33.69</v>
      </c>
      <c r="G349" s="3" t="n">
        <v>12.42</v>
      </c>
      <c r="H349" s="3" t="n">
        <v>19.44</v>
      </c>
      <c r="I349" s="3" t="n">
        <v>4.2</v>
      </c>
      <c r="J349" s="3" t="n">
        <v>105.35</v>
      </c>
    </row>
    <row r="350">
      <c r="A350" s="8" t="n">
        <v>44936</v>
      </c>
      <c r="B350" s="3" t="n">
        <v>18.13</v>
      </c>
      <c r="C350" s="3" t="n">
        <v>37.55</v>
      </c>
      <c r="D350" s="3" t="n">
        <v>93.58</v>
      </c>
      <c r="E350" s="3" t="n">
        <v>14.54</v>
      </c>
      <c r="F350" s="3" t="n">
        <v>34.2</v>
      </c>
      <c r="G350" s="3" t="n">
        <v>12.86</v>
      </c>
      <c r="H350" s="3" t="n">
        <v>20.02</v>
      </c>
      <c r="I350" s="3" t="n">
        <v>4.31</v>
      </c>
      <c r="J350" s="3" t="n">
        <v>107.18</v>
      </c>
    </row>
    <row r="351">
      <c r="A351" s="8" t="n">
        <v>44937</v>
      </c>
      <c r="B351" s="3" t="n">
        <v>18.53</v>
      </c>
      <c r="C351" s="3" t="n">
        <v>38.6</v>
      </c>
      <c r="D351" s="3" t="n">
        <v>93.25</v>
      </c>
      <c r="E351" s="3" t="n">
        <v>14.29</v>
      </c>
      <c r="F351" s="3" t="n">
        <v>34.4</v>
      </c>
      <c r="G351" s="3" t="n">
        <v>13.45</v>
      </c>
      <c r="H351" s="3" t="n">
        <v>20.82</v>
      </c>
      <c r="I351" s="3" t="n">
        <v>4.6</v>
      </c>
      <c r="J351" s="3" t="n">
        <v>109.1</v>
      </c>
    </row>
    <row r="352">
      <c r="A352" s="8" t="n">
        <v>44938</v>
      </c>
      <c r="B352" s="3" t="n">
        <v>18.67</v>
      </c>
      <c r="C352" s="3" t="n">
        <v>38.51</v>
      </c>
      <c r="D352" s="3" t="n">
        <v>93.73999999999999</v>
      </c>
      <c r="E352" s="3" t="n">
        <v>14.1</v>
      </c>
      <c r="F352" s="3" t="n">
        <v>34.29</v>
      </c>
      <c r="G352" s="3" t="n">
        <v>13.37</v>
      </c>
      <c r="H352" s="3" t="n">
        <v>21.24</v>
      </c>
      <c r="I352" s="3" t="n">
        <v>4.35</v>
      </c>
      <c r="J352" s="3" t="n">
        <v>108.26</v>
      </c>
    </row>
    <row r="353">
      <c r="A353" s="8" t="n">
        <v>44939</v>
      </c>
      <c r="B353" s="3" t="n">
        <v>18.37</v>
      </c>
      <c r="C353" s="3" t="n">
        <v>38.97</v>
      </c>
      <c r="D353" s="3" t="n">
        <v>93.81999999999999</v>
      </c>
      <c r="E353" s="3" t="n">
        <v>13.88</v>
      </c>
      <c r="F353" s="3" t="n">
        <v>34.2</v>
      </c>
      <c r="G353" s="3" t="n">
        <v>13.16</v>
      </c>
      <c r="H353" s="3" t="n">
        <v>20.14</v>
      </c>
      <c r="I353" s="3" t="n">
        <v>4.25</v>
      </c>
      <c r="J353" s="3" t="n">
        <v>107.35</v>
      </c>
    </row>
    <row r="354">
      <c r="A354" s="8" t="n">
        <v>44942</v>
      </c>
      <c r="B354" s="3" t="n">
        <v>18.3</v>
      </c>
      <c r="C354" s="3" t="n">
        <v>37.69</v>
      </c>
      <c r="D354" s="3" t="n">
        <v>92.25</v>
      </c>
      <c r="E354" s="3" t="n">
        <v>13.2</v>
      </c>
      <c r="F354" s="3" t="n">
        <v>33.88</v>
      </c>
      <c r="G354" s="3" t="n">
        <v>12.95</v>
      </c>
      <c r="H354" s="3" t="n">
        <v>19.73</v>
      </c>
      <c r="I354" s="3" t="n">
        <v>4.12</v>
      </c>
      <c r="J354" s="3" t="n">
        <v>105.47</v>
      </c>
    </row>
    <row r="355">
      <c r="A355" s="8" t="n">
        <v>44943</v>
      </c>
      <c r="B355" s="3" t="n">
        <v>18.57</v>
      </c>
      <c r="C355" s="3" t="n">
        <v>38.31</v>
      </c>
      <c r="D355" s="3" t="n">
        <v>92.13</v>
      </c>
      <c r="E355" s="3" t="n">
        <v>13.86</v>
      </c>
      <c r="F355" s="3" t="n">
        <v>34.38</v>
      </c>
      <c r="G355" s="3" t="n">
        <v>13.01</v>
      </c>
      <c r="H355" s="3" t="n">
        <v>19.94</v>
      </c>
      <c r="I355" s="3" t="n">
        <v>4.15</v>
      </c>
      <c r="J355" s="3" t="n">
        <v>107.8</v>
      </c>
    </row>
    <row r="356">
      <c r="A356" s="8" t="n">
        <v>44944</v>
      </c>
      <c r="B356" s="3" t="n">
        <v>18.87</v>
      </c>
      <c r="C356" s="3" t="n">
        <v>37.99</v>
      </c>
      <c r="D356" s="3" t="n">
        <v>93.34</v>
      </c>
      <c r="E356" s="3" t="n">
        <v>13.78</v>
      </c>
      <c r="F356" s="3" t="n">
        <v>34.66</v>
      </c>
      <c r="G356" s="3" t="n">
        <v>13.08</v>
      </c>
      <c r="H356" s="3" t="n">
        <v>20.65</v>
      </c>
      <c r="I356" s="3" t="n">
        <v>4.21</v>
      </c>
      <c r="J356" s="3" t="n">
        <v>108.33</v>
      </c>
    </row>
    <row r="357">
      <c r="A357" s="8" t="n">
        <v>44945</v>
      </c>
      <c r="B357" s="3" t="n">
        <v>19.07</v>
      </c>
      <c r="C357" s="3" t="n">
        <v>37.91</v>
      </c>
      <c r="D357" s="3" t="n">
        <v>93.73999999999999</v>
      </c>
      <c r="E357" s="3" t="n">
        <v>13.64</v>
      </c>
      <c r="F357" s="3" t="n">
        <v>35.04</v>
      </c>
      <c r="G357" s="3" t="n">
        <v>12.97</v>
      </c>
      <c r="H357" s="3" t="n">
        <v>20.8</v>
      </c>
      <c r="I357" s="3" t="n">
        <v>4.37</v>
      </c>
      <c r="J357" s="3" t="n">
        <v>109.11</v>
      </c>
    </row>
    <row r="358">
      <c r="A358" s="8" t="n">
        <v>44946</v>
      </c>
      <c r="B358" s="3" t="n">
        <v>18.36</v>
      </c>
      <c r="C358" s="3" t="n">
        <v>37.33</v>
      </c>
      <c r="D358" s="3" t="n">
        <v>93.98999999999999</v>
      </c>
      <c r="E358" s="3" t="n">
        <v>13.53</v>
      </c>
      <c r="F358" s="3" t="n">
        <v>35.04</v>
      </c>
      <c r="G358" s="3" t="n">
        <v>12.77</v>
      </c>
      <c r="H358" s="3" t="n">
        <v>20.55</v>
      </c>
      <c r="I358" s="3" t="n">
        <v>4.38</v>
      </c>
      <c r="J358" s="3" t="n">
        <v>108.45</v>
      </c>
    </row>
    <row r="359">
      <c r="A359" s="8" t="n">
        <v>44949</v>
      </c>
      <c r="B359" s="3" t="n">
        <v>18.49</v>
      </c>
      <c r="C359" s="3" t="n">
        <v>37.37</v>
      </c>
      <c r="D359" s="3" t="n">
        <v>94.3</v>
      </c>
      <c r="E359" s="3" t="n">
        <v>13.42</v>
      </c>
      <c r="F359" s="3" t="n">
        <v>35.32</v>
      </c>
      <c r="G359" s="3" t="n">
        <v>12.65</v>
      </c>
      <c r="H359" s="3" t="n">
        <v>20.39</v>
      </c>
      <c r="I359" s="3" t="n">
        <v>4.23</v>
      </c>
      <c r="J359" s="3" t="n">
        <v>107.9</v>
      </c>
    </row>
    <row r="360">
      <c r="A360" s="8" t="n">
        <v>44950</v>
      </c>
      <c r="B360" s="3" t="n">
        <v>18.82</v>
      </c>
      <c r="C360" s="3" t="n">
        <v>37.21</v>
      </c>
      <c r="D360" s="3" t="n">
        <v>95.3</v>
      </c>
      <c r="E360" s="3" t="n">
        <v>13.61</v>
      </c>
      <c r="F360" s="3" t="n">
        <v>35.7</v>
      </c>
      <c r="G360" s="3" t="n">
        <v>12.84</v>
      </c>
      <c r="H360" s="3" t="n">
        <v>21.29</v>
      </c>
      <c r="I360" s="3" t="n">
        <v>4.48</v>
      </c>
      <c r="J360" s="3" t="n">
        <v>109.43</v>
      </c>
    </row>
    <row r="361">
      <c r="A361" s="8" t="n">
        <v>44951</v>
      </c>
      <c r="B361" s="3" t="n">
        <v>18.78</v>
      </c>
      <c r="C361" s="3" t="n">
        <v>38.72</v>
      </c>
      <c r="D361" s="3" t="n">
        <v>96.2</v>
      </c>
      <c r="E361" s="3" t="n">
        <v>13.71</v>
      </c>
      <c r="F361" s="3" t="n">
        <v>37.18</v>
      </c>
      <c r="G361" s="3" t="n">
        <v>13.11</v>
      </c>
      <c r="H361" s="3" t="n">
        <v>21.73</v>
      </c>
      <c r="I361" s="3" t="n">
        <v>4.58</v>
      </c>
      <c r="J361" s="3" t="n">
        <v>110.65</v>
      </c>
    </row>
    <row r="362">
      <c r="A362" s="8" t="n">
        <v>44952</v>
      </c>
      <c r="B362" s="3" t="n">
        <v>18.79</v>
      </c>
      <c r="C362" s="3" t="n">
        <v>38.21</v>
      </c>
      <c r="D362" s="3" t="n">
        <v>98</v>
      </c>
      <c r="E362" s="3" t="n">
        <v>13.74</v>
      </c>
      <c r="F362" s="3" t="n">
        <v>37.06</v>
      </c>
      <c r="G362" s="3" t="n">
        <v>13.12</v>
      </c>
      <c r="H362" s="3" t="n">
        <v>21.83</v>
      </c>
      <c r="I362" s="3" t="n">
        <v>4.44</v>
      </c>
      <c r="J362" s="3" t="n">
        <v>110.42</v>
      </c>
    </row>
    <row r="363">
      <c r="A363" s="8" t="n">
        <v>44953</v>
      </c>
      <c r="B363" s="3" t="n">
        <v>18.53</v>
      </c>
      <c r="C363" s="3" t="n">
        <v>37.91</v>
      </c>
      <c r="D363" s="3" t="n">
        <v>95.31999999999999</v>
      </c>
      <c r="E363" s="3" t="n">
        <v>13.65</v>
      </c>
      <c r="F363" s="3" t="n">
        <v>37.27</v>
      </c>
      <c r="G363" s="3" t="n">
        <v>12.71</v>
      </c>
      <c r="H363" s="3" t="n">
        <v>21.26</v>
      </c>
      <c r="I363" s="3" t="n">
        <v>4.6</v>
      </c>
      <c r="J363" s="3" t="n">
        <v>108.4</v>
      </c>
    </row>
    <row r="364">
      <c r="A364" s="8" t="n">
        <v>44956</v>
      </c>
      <c r="B364" s="3" t="n">
        <v>18.19</v>
      </c>
      <c r="C364" s="3" t="n">
        <v>37.35</v>
      </c>
      <c r="D364" s="3" t="n">
        <v>94.98</v>
      </c>
      <c r="E364" s="3" t="n">
        <v>13.53</v>
      </c>
      <c r="F364" s="3" t="n">
        <v>37.9</v>
      </c>
      <c r="G364" s="3" t="n">
        <v>12.87</v>
      </c>
      <c r="H364" s="3" t="n">
        <v>21.19</v>
      </c>
      <c r="I364" s="3" t="n">
        <v>4.7</v>
      </c>
      <c r="J364" s="3" t="n">
        <v>108.7</v>
      </c>
    </row>
    <row r="365">
      <c r="A365" s="8" t="n">
        <v>44957</v>
      </c>
      <c r="B365" s="3" t="n">
        <v>18.38</v>
      </c>
      <c r="C365" s="3" t="n">
        <v>38.24</v>
      </c>
      <c r="D365" s="3" t="n">
        <v>94.51000000000001</v>
      </c>
      <c r="E365" s="3" t="n">
        <v>13.66</v>
      </c>
      <c r="F365" s="3" t="n">
        <v>37.78</v>
      </c>
      <c r="G365" s="3" t="n">
        <v>12.96</v>
      </c>
      <c r="H365" s="3" t="n">
        <v>21.63</v>
      </c>
      <c r="I365" s="3" t="n">
        <v>5.15</v>
      </c>
      <c r="J365" s="3" t="n">
        <v>109.84</v>
      </c>
    </row>
    <row r="366">
      <c r="A366" s="8" t="n">
        <v>44958</v>
      </c>
      <c r="B366" s="3" t="n">
        <v>18.14</v>
      </c>
      <c r="C366" s="3" t="n">
        <v>38.39</v>
      </c>
      <c r="D366" s="3" t="n">
        <v>93.45999999999999</v>
      </c>
      <c r="E366" s="3" t="n">
        <v>13.18</v>
      </c>
      <c r="F366" s="3" t="n">
        <v>36.63</v>
      </c>
      <c r="G366" s="3" t="n">
        <v>12.91</v>
      </c>
      <c r="H366" s="3" t="n">
        <v>21.66</v>
      </c>
      <c r="I366" s="3" t="n">
        <v>5.05</v>
      </c>
      <c r="J366" s="3" t="n">
        <v>108.4</v>
      </c>
    </row>
    <row r="367">
      <c r="A367" s="8" t="n">
        <v>44959</v>
      </c>
      <c r="B367" s="3" t="n">
        <v>18.4</v>
      </c>
      <c r="C367" s="3" t="n">
        <v>38.04</v>
      </c>
      <c r="D367" s="3" t="n">
        <v>89.14</v>
      </c>
      <c r="E367" s="3" t="n">
        <v>13.11</v>
      </c>
      <c r="F367" s="3" t="n">
        <v>36.5</v>
      </c>
      <c r="G367" s="3" t="n">
        <v>13</v>
      </c>
      <c r="H367" s="3" t="n">
        <v>21.78</v>
      </c>
      <c r="I367" s="3" t="n">
        <v>5.11</v>
      </c>
      <c r="J367" s="3" t="n">
        <v>106.3</v>
      </c>
    </row>
    <row r="368">
      <c r="A368" s="8" t="n">
        <v>44960</v>
      </c>
      <c r="B368" s="3" t="n">
        <v>18.04</v>
      </c>
      <c r="C368" s="3" t="n">
        <v>37.91</v>
      </c>
      <c r="D368" s="3" t="n">
        <v>88.95</v>
      </c>
      <c r="E368" s="3" t="n">
        <v>12.98</v>
      </c>
      <c r="F368" s="3" t="n">
        <v>36.4</v>
      </c>
      <c r="G368" s="3" t="n">
        <v>12.11</v>
      </c>
      <c r="H368" s="3" t="n">
        <v>20.26</v>
      </c>
      <c r="I368" s="3" t="n">
        <v>4.63</v>
      </c>
      <c r="J368" s="3" t="n">
        <v>104.87</v>
      </c>
    </row>
    <row r="369">
      <c r="A369" s="8" t="n">
        <v>44963</v>
      </c>
      <c r="B369" s="3" t="n">
        <v>17.54</v>
      </c>
      <c r="C369" s="3" t="n">
        <v>37.57</v>
      </c>
      <c r="D369" s="3" t="n">
        <v>87.84</v>
      </c>
      <c r="E369" s="3" t="n">
        <v>13.02</v>
      </c>
      <c r="F369" s="3" t="n">
        <v>36.58</v>
      </c>
      <c r="G369" s="3" t="n">
        <v>12.11</v>
      </c>
      <c r="H369" s="3" t="n">
        <v>20.2</v>
      </c>
      <c r="I369" s="3" t="n">
        <v>4.6</v>
      </c>
      <c r="J369" s="3" t="n">
        <v>105.25</v>
      </c>
    </row>
    <row r="370">
      <c r="A370" s="8" t="n">
        <v>44964</v>
      </c>
      <c r="B370" s="3" t="n">
        <v>17.71</v>
      </c>
      <c r="C370" s="3" t="n">
        <v>37.67</v>
      </c>
      <c r="D370" s="3" t="n">
        <v>88.42</v>
      </c>
      <c r="E370" s="3" t="n">
        <v>12.96</v>
      </c>
      <c r="F370" s="3" t="n">
        <v>36.82</v>
      </c>
      <c r="G370" s="3" t="n">
        <v>11.89</v>
      </c>
      <c r="H370" s="3" t="n">
        <v>19.77</v>
      </c>
      <c r="I370" s="3" t="n">
        <v>4.65</v>
      </c>
      <c r="J370" s="3" t="n">
        <v>104.1</v>
      </c>
    </row>
    <row r="371">
      <c r="A371" s="8" t="n">
        <v>44965</v>
      </c>
      <c r="B371" s="3" t="n">
        <v>17.8</v>
      </c>
      <c r="C371" s="3" t="n">
        <v>37.66</v>
      </c>
      <c r="D371" s="3" t="n">
        <v>88.72</v>
      </c>
      <c r="E371" s="3" t="n">
        <v>13.19</v>
      </c>
      <c r="F371" s="3" t="n">
        <v>37.05</v>
      </c>
      <c r="G371" s="3" t="n">
        <v>12.12</v>
      </c>
      <c r="H371" s="3" t="n">
        <v>20.1</v>
      </c>
      <c r="I371" s="3" t="n">
        <v>4.48</v>
      </c>
      <c r="J371" s="3" t="n">
        <v>106.34</v>
      </c>
    </row>
    <row r="372">
      <c r="A372" s="8" t="n">
        <v>44966</v>
      </c>
      <c r="B372" s="3" t="n">
        <v>16.99</v>
      </c>
      <c r="C372" s="3" t="n">
        <v>37.98</v>
      </c>
      <c r="D372" s="3" t="n">
        <v>88.39</v>
      </c>
      <c r="E372" s="3" t="n">
        <v>13.02</v>
      </c>
      <c r="F372" s="3" t="n">
        <v>35.11</v>
      </c>
      <c r="G372" s="3" t="n">
        <v>11.65</v>
      </c>
      <c r="H372" s="3" t="n">
        <v>19.25</v>
      </c>
      <c r="I372" s="3" t="n">
        <v>4.49</v>
      </c>
      <c r="J372" s="3" t="n">
        <v>104.44</v>
      </c>
    </row>
    <row r="373">
      <c r="A373" s="8" t="n">
        <v>44967</v>
      </c>
      <c r="B373" s="3" t="n">
        <v>17.54</v>
      </c>
      <c r="C373" s="3" t="n">
        <v>38.6</v>
      </c>
      <c r="D373" s="3" t="n">
        <v>86.8</v>
      </c>
      <c r="E373" s="3" t="n">
        <v>12.86</v>
      </c>
      <c r="F373" s="3" t="n">
        <v>35.95</v>
      </c>
      <c r="G373" s="3" t="n">
        <v>11.8</v>
      </c>
      <c r="H373" s="3" t="n">
        <v>19.28</v>
      </c>
      <c r="I373" s="3" t="n">
        <v>4.54</v>
      </c>
      <c r="J373" s="3" t="n">
        <v>104.75</v>
      </c>
    </row>
    <row r="374">
      <c r="A374" s="8" t="n">
        <v>44970</v>
      </c>
      <c r="B374" s="3" t="n">
        <v>17.51</v>
      </c>
      <c r="C374" s="3" t="n">
        <v>38.58</v>
      </c>
      <c r="D374" s="3" t="n">
        <v>86.70999999999999</v>
      </c>
      <c r="E374" s="3" t="n">
        <v>13.13</v>
      </c>
      <c r="F374" s="3" t="n">
        <v>36.35</v>
      </c>
      <c r="G374" s="3" t="n">
        <v>11.92</v>
      </c>
      <c r="H374" s="3" t="n">
        <v>19.34</v>
      </c>
      <c r="I374" s="3" t="n">
        <v>4.58</v>
      </c>
      <c r="J374" s="3" t="n">
        <v>105.47</v>
      </c>
    </row>
    <row r="375">
      <c r="A375" s="8" t="n">
        <v>44971</v>
      </c>
      <c r="B375" s="3" t="n">
        <v>17.36</v>
      </c>
      <c r="C375" s="3" t="n">
        <v>38.36</v>
      </c>
      <c r="D375" s="3" t="n">
        <v>87.09999999999999</v>
      </c>
      <c r="E375" s="3" t="n">
        <v>13</v>
      </c>
      <c r="F375" s="3" t="n">
        <v>36.57</v>
      </c>
      <c r="G375" s="3" t="n">
        <v>11.44</v>
      </c>
      <c r="H375" s="3" t="n">
        <v>18.72</v>
      </c>
      <c r="I375" s="3" t="n">
        <v>4.58</v>
      </c>
      <c r="J375" s="3" t="n">
        <v>104.43</v>
      </c>
    </row>
    <row r="376">
      <c r="A376" s="8" t="n">
        <v>44972</v>
      </c>
      <c r="B376" s="3" t="n">
        <v>17.43</v>
      </c>
      <c r="C376" s="3" t="n">
        <v>38.88</v>
      </c>
      <c r="D376" s="3" t="n">
        <v>89</v>
      </c>
      <c r="E376" s="3" t="n">
        <v>13.23</v>
      </c>
      <c r="F376" s="3" t="n">
        <v>34.94</v>
      </c>
      <c r="G376" s="3" t="n">
        <v>11.59</v>
      </c>
      <c r="H376" s="3" t="n">
        <v>19.23</v>
      </c>
      <c r="I376" s="3" t="n">
        <v>4.93</v>
      </c>
      <c r="J376" s="3" t="n">
        <v>106.05</v>
      </c>
    </row>
    <row r="377">
      <c r="A377" s="8" t="n">
        <v>44973</v>
      </c>
      <c r="B377" s="3" t="n">
        <v>17.95</v>
      </c>
      <c r="C377" s="3" t="n">
        <v>38.78</v>
      </c>
      <c r="D377" s="3" t="n">
        <v>89.19</v>
      </c>
      <c r="E377" s="3" t="n">
        <v>13.08</v>
      </c>
      <c r="F377" s="3" t="n">
        <v>35.37</v>
      </c>
      <c r="G377" s="3" t="n">
        <v>11.37</v>
      </c>
      <c r="H377" s="3" t="n">
        <v>19.38</v>
      </c>
      <c r="I377" s="3" t="n">
        <v>5.13</v>
      </c>
      <c r="J377" s="3" t="n">
        <v>106.5</v>
      </c>
    </row>
    <row r="378">
      <c r="A378" s="8" t="n">
        <v>44974</v>
      </c>
      <c r="B378" s="3" t="n">
        <v>18.26</v>
      </c>
      <c r="C378" s="3" t="n">
        <v>39.62</v>
      </c>
      <c r="D378" s="3" t="n">
        <v>88.03</v>
      </c>
      <c r="E378" s="3" t="n">
        <v>13.2</v>
      </c>
      <c r="F378" s="3" t="n">
        <v>35.53</v>
      </c>
      <c r="G378" s="3" t="n">
        <v>11.03</v>
      </c>
      <c r="H378" s="3" t="n">
        <v>19.62</v>
      </c>
      <c r="I378" s="3" t="n">
        <v>5.09</v>
      </c>
      <c r="J378" s="3" t="n">
        <v>105.56</v>
      </c>
    </row>
    <row r="379">
      <c r="A379" s="8" t="n">
        <v>44979</v>
      </c>
      <c r="B379" s="3" t="n">
        <v>18</v>
      </c>
      <c r="C379" s="3" t="n">
        <v>38.4</v>
      </c>
      <c r="D379" s="3" t="n">
        <v>87.36</v>
      </c>
      <c r="E379" s="3" t="n">
        <v>13.21</v>
      </c>
      <c r="F379" s="3" t="n">
        <v>35.36</v>
      </c>
      <c r="G379" s="3" t="n">
        <v>10.85</v>
      </c>
      <c r="H379" s="3" t="n">
        <v>18.69</v>
      </c>
      <c r="I379" s="3" t="n">
        <v>4.94</v>
      </c>
      <c r="J379" s="3" t="n">
        <v>103.6</v>
      </c>
    </row>
    <row r="380">
      <c r="A380" s="8" t="n">
        <v>44980</v>
      </c>
      <c r="B380" s="3" t="n">
        <v>17.91</v>
      </c>
      <c r="C380" s="3" t="n">
        <v>39.24</v>
      </c>
      <c r="D380" s="3" t="n">
        <v>86.95</v>
      </c>
      <c r="E380" s="3" t="n">
        <v>13.25</v>
      </c>
      <c r="F380" s="3" t="n">
        <v>35.16</v>
      </c>
      <c r="G380" s="3" t="n">
        <v>10.78</v>
      </c>
      <c r="H380" s="3" t="n">
        <v>19.18</v>
      </c>
      <c r="I380" s="3" t="n">
        <v>4.83</v>
      </c>
      <c r="J380" s="3" t="n">
        <v>104.15</v>
      </c>
    </row>
    <row r="381">
      <c r="A381" s="8" t="n">
        <v>44981</v>
      </c>
      <c r="B381" s="3" t="n">
        <v>18.01</v>
      </c>
      <c r="C381" s="3" t="n">
        <v>38.86</v>
      </c>
      <c r="D381" s="3" t="n">
        <v>85.04000000000001</v>
      </c>
      <c r="E381" s="3" t="n">
        <v>13.32</v>
      </c>
      <c r="F381" s="3" t="n">
        <v>34.1</v>
      </c>
      <c r="G381" s="3" t="n">
        <v>10.39</v>
      </c>
      <c r="H381" s="3" t="n">
        <v>19.01</v>
      </c>
      <c r="I381" s="3" t="n">
        <v>4.75</v>
      </c>
      <c r="J381" s="3" t="n">
        <v>102.38</v>
      </c>
    </row>
    <row r="382">
      <c r="A382" s="8" t="n">
        <v>44984</v>
      </c>
      <c r="B382" s="3" t="n">
        <v>18.08</v>
      </c>
      <c r="C382" s="3" t="n">
        <v>38.8</v>
      </c>
      <c r="D382" s="3" t="n">
        <v>85.04000000000001</v>
      </c>
      <c r="E382" s="3" t="n">
        <v>13.4</v>
      </c>
      <c r="F382" s="3" t="n">
        <v>34.29</v>
      </c>
      <c r="G382" s="3" t="n">
        <v>10.56</v>
      </c>
      <c r="H382" s="3" t="n">
        <v>19.2</v>
      </c>
      <c r="I382" s="3" t="n">
        <v>4.55</v>
      </c>
      <c r="J382" s="3" t="n">
        <v>102.29</v>
      </c>
    </row>
    <row r="383">
      <c r="A383" s="8" t="n">
        <v>44985</v>
      </c>
      <c r="B383" s="3" t="n">
        <v>17.96</v>
      </c>
      <c r="C383" s="3" t="n">
        <v>39.16</v>
      </c>
      <c r="D383" s="3" t="n">
        <v>85.31999999999999</v>
      </c>
      <c r="E383" s="3" t="n">
        <v>13.39</v>
      </c>
      <c r="F383" s="3" t="n">
        <v>34.21</v>
      </c>
      <c r="G383" s="3" t="n">
        <v>10.55</v>
      </c>
      <c r="H383" s="3" t="n">
        <v>18.65</v>
      </c>
      <c r="I383" s="3" t="n">
        <v>4.49</v>
      </c>
      <c r="J383" s="3" t="n">
        <v>101.15</v>
      </c>
    </row>
    <row r="384">
      <c r="A384" s="8" t="n">
        <v>44986</v>
      </c>
      <c r="B384" s="3" t="n">
        <v>17.43</v>
      </c>
      <c r="C384" s="3" t="n">
        <v>39.38</v>
      </c>
      <c r="D384" s="3" t="n">
        <v>89.2</v>
      </c>
      <c r="E384" s="3" t="n">
        <v>13.47</v>
      </c>
      <c r="F384" s="3" t="n">
        <v>34.01</v>
      </c>
      <c r="G384" s="3" t="n">
        <v>10.5</v>
      </c>
      <c r="H384" s="3" t="n">
        <v>17.9</v>
      </c>
      <c r="I384" s="3" t="n">
        <v>3.02</v>
      </c>
      <c r="J384" s="3" t="n">
        <v>101.2</v>
      </c>
    </row>
    <row r="385">
      <c r="A385" s="8" t="n">
        <v>44987</v>
      </c>
      <c r="B385" s="3" t="n">
        <v>17.77</v>
      </c>
      <c r="C385" s="3" t="n">
        <v>39.16</v>
      </c>
      <c r="D385" s="3" t="n">
        <v>89</v>
      </c>
      <c r="E385" s="3" t="n">
        <v>13.13</v>
      </c>
      <c r="F385" s="3" t="n">
        <v>34.57</v>
      </c>
      <c r="G385" s="3" t="n">
        <v>10.59</v>
      </c>
      <c r="H385" s="3" t="n">
        <v>18.1</v>
      </c>
      <c r="I385" s="3" t="n">
        <v>2.92</v>
      </c>
      <c r="J385" s="3" t="n">
        <v>99.94</v>
      </c>
    </row>
    <row r="386">
      <c r="A386" s="8" t="n">
        <v>44988</v>
      </c>
      <c r="B386" s="3" t="n">
        <v>17.69</v>
      </c>
      <c r="C386" s="3" t="n">
        <v>38.84</v>
      </c>
      <c r="D386" s="3" t="n">
        <v>89.3</v>
      </c>
      <c r="E386" s="3" t="n">
        <v>13.11</v>
      </c>
      <c r="F386" s="3" t="n">
        <v>34.07</v>
      </c>
      <c r="G386" s="3" t="n">
        <v>10.52</v>
      </c>
      <c r="H386" s="3" t="n">
        <v>17.75</v>
      </c>
      <c r="I386" s="3" t="n">
        <v>2.68</v>
      </c>
      <c r="J386" s="3" t="n">
        <v>100.42</v>
      </c>
    </row>
    <row r="387">
      <c r="A387" s="8" t="n">
        <v>44991</v>
      </c>
      <c r="B387" s="3" t="n">
        <v>18.06</v>
      </c>
      <c r="C387" s="3" t="n">
        <v>39.43</v>
      </c>
      <c r="D387" s="3" t="n">
        <v>86.15000000000001</v>
      </c>
      <c r="E387" s="3" t="n">
        <v>13.5</v>
      </c>
      <c r="F387" s="3" t="n">
        <v>34.88</v>
      </c>
      <c r="G387" s="3" t="n">
        <v>10.96</v>
      </c>
      <c r="H387" s="3" t="n">
        <v>18.14</v>
      </c>
      <c r="I387" s="3" t="n">
        <v>2.72</v>
      </c>
      <c r="J387" s="3" t="n">
        <v>101.47</v>
      </c>
    </row>
    <row r="388">
      <c r="A388" s="8" t="n">
        <v>44992</v>
      </c>
      <c r="B388" s="3" t="n">
        <v>18.37</v>
      </c>
      <c r="C388" s="3" t="n">
        <v>39.59</v>
      </c>
      <c r="D388" s="3" t="n">
        <v>85.33</v>
      </c>
      <c r="E388" s="3" t="n">
        <v>13.43</v>
      </c>
      <c r="F388" s="3" t="n">
        <v>34.87</v>
      </c>
      <c r="G388" s="3" t="n">
        <v>11.05</v>
      </c>
      <c r="H388" s="3" t="n">
        <v>18.24</v>
      </c>
      <c r="I388" s="3" t="n">
        <v>2.68</v>
      </c>
      <c r="J388" s="3" t="n">
        <v>100.9</v>
      </c>
    </row>
    <row r="389">
      <c r="A389" s="8" t="n">
        <v>44993</v>
      </c>
      <c r="B389" s="3" t="n">
        <v>19</v>
      </c>
      <c r="C389" s="3" t="n">
        <v>40.16</v>
      </c>
      <c r="D389" s="3" t="n">
        <v>86.11</v>
      </c>
      <c r="E389" s="3" t="n">
        <v>13.62</v>
      </c>
      <c r="F389" s="3" t="n">
        <v>34.86</v>
      </c>
      <c r="G389" s="3" t="n">
        <v>11.65</v>
      </c>
      <c r="H389" s="3" t="n">
        <v>19.6</v>
      </c>
      <c r="I389" s="3" t="n">
        <v>2.92</v>
      </c>
      <c r="J389" s="3" t="n">
        <v>103.22</v>
      </c>
    </row>
    <row r="390">
      <c r="A390" s="8" t="n">
        <v>44994</v>
      </c>
      <c r="B390" s="3" t="n">
        <v>19.08</v>
      </c>
      <c r="C390" s="3" t="n">
        <v>39.86</v>
      </c>
      <c r="D390" s="3" t="n">
        <v>84.98</v>
      </c>
      <c r="E390" s="3" t="n">
        <v>13.6</v>
      </c>
      <c r="F390" s="3" t="n">
        <v>34.58</v>
      </c>
      <c r="G390" s="3" t="n">
        <v>11.58</v>
      </c>
      <c r="H390" s="3" t="n">
        <v>19.33</v>
      </c>
      <c r="I390" s="3" t="n">
        <v>1.94</v>
      </c>
      <c r="J390" s="3" t="n">
        <v>101.56</v>
      </c>
    </row>
    <row r="391">
      <c r="A391" s="8" t="n">
        <v>44995</v>
      </c>
      <c r="B391" s="3" t="n">
        <v>19.02</v>
      </c>
      <c r="C391" s="3" t="n">
        <v>39.54</v>
      </c>
      <c r="D391" s="3" t="n">
        <v>84.7</v>
      </c>
      <c r="E391" s="3" t="n">
        <v>13.51</v>
      </c>
      <c r="F391" s="3" t="n">
        <v>34.01</v>
      </c>
      <c r="G391" s="3" t="n">
        <v>11.26</v>
      </c>
      <c r="H391" s="3" t="n">
        <v>18.93</v>
      </c>
      <c r="I391" s="3" t="n">
        <v>2.47</v>
      </c>
      <c r="J391" s="3" t="n">
        <v>100.21</v>
      </c>
    </row>
    <row r="392">
      <c r="A392" s="8" t="n">
        <v>44998</v>
      </c>
      <c r="B392" s="3" t="n">
        <v>18.96</v>
      </c>
      <c r="C392" s="3" t="n">
        <v>39.79</v>
      </c>
      <c r="D392" s="3" t="n">
        <v>85.05</v>
      </c>
      <c r="E392" s="3" t="n">
        <v>13.61</v>
      </c>
      <c r="F392" s="3" t="n">
        <v>33.24</v>
      </c>
      <c r="G392" s="3" t="n">
        <v>11.35</v>
      </c>
      <c r="H392" s="3" t="n">
        <v>19.22</v>
      </c>
      <c r="I392" s="3" t="n">
        <v>2.5</v>
      </c>
      <c r="J392" s="3" t="n">
        <v>99.78</v>
      </c>
    </row>
    <row r="393">
      <c r="A393" s="8" t="n">
        <v>44999</v>
      </c>
      <c r="B393" s="3" t="n">
        <v>18.57</v>
      </c>
      <c r="C393" s="3" t="n">
        <v>40.26</v>
      </c>
      <c r="D393" s="3" t="n">
        <v>83.98</v>
      </c>
      <c r="E393" s="3" t="n">
        <v>13.95</v>
      </c>
      <c r="F393" s="3" t="n">
        <v>33.25</v>
      </c>
      <c r="G393" s="3" t="n">
        <v>11.44</v>
      </c>
      <c r="H393" s="3" t="n">
        <v>18.47</v>
      </c>
      <c r="I393" s="3" t="n">
        <v>2.48</v>
      </c>
      <c r="J393" s="3" t="n">
        <v>99.58</v>
      </c>
    </row>
    <row r="394">
      <c r="A394" s="8" t="n">
        <v>45000</v>
      </c>
      <c r="B394" s="3" t="n">
        <v>18.49</v>
      </c>
      <c r="C394" s="3" t="n">
        <v>40.07</v>
      </c>
      <c r="D394" s="3" t="n">
        <v>81.45</v>
      </c>
      <c r="E394" s="3" t="n">
        <v>14.02</v>
      </c>
      <c r="F394" s="3" t="n">
        <v>32.85</v>
      </c>
      <c r="G394" s="3" t="n">
        <v>11.54</v>
      </c>
      <c r="H394" s="3" t="n">
        <v>18.54</v>
      </c>
      <c r="I394" s="3" t="n">
        <v>2.52</v>
      </c>
      <c r="J394" s="3" t="n">
        <v>99.39</v>
      </c>
    </row>
    <row r="395">
      <c r="A395" s="8" t="n">
        <v>45001</v>
      </c>
      <c r="B395" s="3" t="n">
        <v>18.65</v>
      </c>
      <c r="C395" s="3" t="n">
        <v>40.3</v>
      </c>
      <c r="D395" s="3" t="n">
        <v>81.75</v>
      </c>
      <c r="E395" s="3" t="n">
        <v>14.26</v>
      </c>
      <c r="F395" s="3" t="n">
        <v>33</v>
      </c>
      <c r="G395" s="3" t="n">
        <v>11.86</v>
      </c>
      <c r="H395" s="3" t="n">
        <v>18.7</v>
      </c>
      <c r="I395" s="3" t="n">
        <v>2.64</v>
      </c>
      <c r="J395" s="3" t="n">
        <v>100</v>
      </c>
    </row>
    <row r="396">
      <c r="A396" s="8" t="n">
        <v>45002</v>
      </c>
      <c r="B396" s="3" t="n">
        <v>18.78</v>
      </c>
      <c r="C396" s="3" t="n">
        <v>39.87</v>
      </c>
      <c r="D396" s="3" t="n">
        <v>82.73</v>
      </c>
      <c r="E396" s="3" t="n">
        <v>14.22</v>
      </c>
      <c r="F396" s="3" t="n">
        <v>32.42</v>
      </c>
      <c r="G396" s="3" t="n">
        <v>11.3</v>
      </c>
      <c r="H396" s="3" t="n">
        <v>18.07</v>
      </c>
      <c r="I396" s="3" t="n">
        <v>2.37</v>
      </c>
      <c r="J396" s="3" t="n">
        <v>98.84999999999999</v>
      </c>
    </row>
    <row r="397">
      <c r="A397" s="8" t="n">
        <v>45005</v>
      </c>
      <c r="B397" s="3" t="n">
        <v>18.51</v>
      </c>
      <c r="C397" s="3" t="n">
        <v>39.7</v>
      </c>
      <c r="D397" s="3" t="n">
        <v>83.41</v>
      </c>
      <c r="E397" s="3" t="n">
        <v>14.12</v>
      </c>
      <c r="F397" s="3" t="n">
        <v>32.25</v>
      </c>
      <c r="G397" s="3" t="n">
        <v>11.18</v>
      </c>
      <c r="H397" s="3" t="n">
        <v>17.46</v>
      </c>
      <c r="I397" s="3" t="n">
        <v>2.18</v>
      </c>
      <c r="J397" s="3" t="n">
        <v>97.7</v>
      </c>
    </row>
    <row r="398">
      <c r="A398" s="8" t="n">
        <v>45006</v>
      </c>
      <c r="B398" s="3" t="n">
        <v>18.57</v>
      </c>
      <c r="C398" s="3" t="n">
        <v>39.96</v>
      </c>
      <c r="D398" s="3" t="n">
        <v>82.70999999999999</v>
      </c>
      <c r="E398" s="3" t="n">
        <v>13.95</v>
      </c>
      <c r="F398" s="3" t="n">
        <v>32.31</v>
      </c>
      <c r="G398" s="3" t="n">
        <v>11.17</v>
      </c>
      <c r="H398" s="3" t="n">
        <v>17.6</v>
      </c>
      <c r="I398" s="3" t="n">
        <v>2.22</v>
      </c>
      <c r="J398" s="3" t="n">
        <v>97.93000000000001</v>
      </c>
    </row>
    <row r="399">
      <c r="A399" s="8" t="n">
        <v>45007</v>
      </c>
      <c r="B399" s="3" t="n">
        <v>18.42</v>
      </c>
      <c r="C399" s="3" t="n">
        <v>39.52</v>
      </c>
      <c r="D399" s="3" t="n">
        <v>81.68000000000001</v>
      </c>
      <c r="E399" s="3" t="n">
        <v>13.95</v>
      </c>
      <c r="F399" s="3" t="n">
        <v>32.4</v>
      </c>
      <c r="G399" s="3" t="n">
        <v>11.04</v>
      </c>
      <c r="H399" s="3" t="n">
        <v>17.27</v>
      </c>
      <c r="I399" s="3" t="n">
        <v>2.21</v>
      </c>
      <c r="J399" s="3" t="n">
        <v>97.03</v>
      </c>
    </row>
    <row r="400">
      <c r="A400" s="8" t="n">
        <v>45008</v>
      </c>
      <c r="B400" s="3" t="n">
        <v>17.83</v>
      </c>
      <c r="C400" s="3" t="n">
        <v>39.89</v>
      </c>
      <c r="D400" s="3" t="n">
        <v>79.58</v>
      </c>
      <c r="E400" s="3" t="n">
        <v>13.78</v>
      </c>
      <c r="F400" s="3" t="n">
        <v>32.65</v>
      </c>
      <c r="G400" s="3" t="n">
        <v>10.42</v>
      </c>
      <c r="H400" s="3" t="n">
        <v>16.82</v>
      </c>
      <c r="I400" s="3" t="n">
        <v>2.07</v>
      </c>
      <c r="J400" s="3" t="n">
        <v>94.58</v>
      </c>
    </row>
    <row r="401">
      <c r="A401" s="8" t="n">
        <v>45009</v>
      </c>
      <c r="B401" s="3" t="n">
        <v>18.15</v>
      </c>
      <c r="C401" s="3" t="n">
        <v>40.51</v>
      </c>
      <c r="D401" s="3" t="n">
        <v>78.67</v>
      </c>
      <c r="E401" s="3" t="n">
        <v>13.89</v>
      </c>
      <c r="F401" s="3" t="n">
        <v>33.07</v>
      </c>
      <c r="G401" s="3" t="n">
        <v>10.56</v>
      </c>
      <c r="H401" s="3" t="n">
        <v>16.99</v>
      </c>
      <c r="I401" s="3" t="n">
        <v>2.25</v>
      </c>
      <c r="J401" s="3" t="n">
        <v>95.86</v>
      </c>
    </row>
    <row r="402">
      <c r="A402" s="8" t="n">
        <v>45012</v>
      </c>
      <c r="B402" s="3" t="n">
        <v>18.33</v>
      </c>
      <c r="C402" s="3" t="n">
        <v>41.19</v>
      </c>
      <c r="D402" s="3" t="n">
        <v>78.54000000000001</v>
      </c>
      <c r="E402" s="3" t="n">
        <v>13.93</v>
      </c>
      <c r="F402" s="3" t="n">
        <v>32.79</v>
      </c>
      <c r="G402" s="3" t="n">
        <v>10.59</v>
      </c>
      <c r="H402" s="3" t="n">
        <v>17.28</v>
      </c>
      <c r="I402" s="3" t="n">
        <v>2.22</v>
      </c>
      <c r="J402" s="3" t="n">
        <v>96.54000000000001</v>
      </c>
    </row>
    <row r="403">
      <c r="A403" s="8" t="n">
        <v>45013</v>
      </c>
      <c r="B403" s="3" t="n">
        <v>18.53</v>
      </c>
      <c r="C403" s="3" t="n">
        <v>41.37</v>
      </c>
      <c r="D403" s="3" t="n">
        <v>79.37</v>
      </c>
      <c r="E403" s="3" t="n">
        <v>14.59</v>
      </c>
      <c r="F403" s="3" t="n">
        <v>33.36</v>
      </c>
      <c r="G403" s="3" t="n">
        <v>10.68</v>
      </c>
      <c r="H403" s="3" t="n">
        <v>17.87</v>
      </c>
      <c r="I403" s="3" t="n">
        <v>2.63</v>
      </c>
      <c r="J403" s="3" t="n">
        <v>98.03</v>
      </c>
    </row>
    <row r="404">
      <c r="A404" s="8" t="n">
        <v>45014</v>
      </c>
      <c r="B404" s="3" t="n">
        <v>18.7</v>
      </c>
      <c r="C404" s="3" t="n">
        <v>41.73</v>
      </c>
      <c r="D404" s="3" t="n">
        <v>80.51000000000001</v>
      </c>
      <c r="E404" s="3" t="n">
        <v>14.81</v>
      </c>
      <c r="F404" s="3" t="n">
        <v>32.82</v>
      </c>
      <c r="G404" s="3" t="n">
        <v>10.53</v>
      </c>
      <c r="H404" s="3" t="n">
        <v>17</v>
      </c>
      <c r="I404" s="3" t="n">
        <v>2.76</v>
      </c>
      <c r="J404" s="3" t="n">
        <v>98.55</v>
      </c>
    </row>
    <row r="405">
      <c r="A405" s="8" t="n">
        <v>45015</v>
      </c>
      <c r="B405" s="3" t="n">
        <v>19.05</v>
      </c>
      <c r="C405" s="3" t="n">
        <v>41.86</v>
      </c>
      <c r="D405" s="3" t="n">
        <v>81.81999999999999</v>
      </c>
      <c r="E405" s="3" t="n">
        <v>14.82</v>
      </c>
      <c r="F405" s="3" t="n">
        <v>32.57</v>
      </c>
      <c r="G405" s="3" t="n">
        <v>10.8</v>
      </c>
      <c r="H405" s="3" t="n">
        <v>17.64</v>
      </c>
      <c r="I405" s="3" t="n">
        <v>2.8</v>
      </c>
      <c r="J405" s="3" t="n">
        <v>100.47</v>
      </c>
    </row>
    <row r="406">
      <c r="A406" s="8" t="n">
        <v>45016</v>
      </c>
      <c r="B406" s="3" t="n">
        <v>18.85</v>
      </c>
      <c r="C406" s="3" t="n">
        <v>40.55</v>
      </c>
      <c r="D406" s="3" t="n">
        <v>80.29000000000001</v>
      </c>
      <c r="E406" s="3" t="n">
        <v>14.33</v>
      </c>
      <c r="F406" s="3" t="n">
        <v>32.51</v>
      </c>
      <c r="G406" s="3" t="n">
        <v>10.35</v>
      </c>
      <c r="H406" s="3" t="n">
        <v>16.57</v>
      </c>
      <c r="I406" s="3" t="n">
        <v>2.62</v>
      </c>
      <c r="J406" s="3" t="n">
        <v>98.48999999999999</v>
      </c>
    </row>
    <row r="407">
      <c r="A407" s="8" t="n">
        <v>45019</v>
      </c>
      <c r="B407" s="3" t="n">
        <v>18.97</v>
      </c>
      <c r="C407" s="3" t="n">
        <v>39.59</v>
      </c>
      <c r="D407" s="3" t="n">
        <v>80.31</v>
      </c>
      <c r="E407" s="3" t="n">
        <v>14.33</v>
      </c>
      <c r="F407" s="3" t="n">
        <v>32.21</v>
      </c>
      <c r="G407" s="3" t="n">
        <v>10.58</v>
      </c>
      <c r="H407" s="3" t="n">
        <v>15.41</v>
      </c>
      <c r="I407" s="3" t="n">
        <v>2.45</v>
      </c>
      <c r="J407" s="3" t="n">
        <v>98.3</v>
      </c>
    </row>
    <row r="408">
      <c r="A408" s="8" t="n">
        <v>45020</v>
      </c>
      <c r="B408" s="3" t="n">
        <v>19.21</v>
      </c>
      <c r="C408" s="3" t="n">
        <v>39.63</v>
      </c>
      <c r="D408" s="3" t="n">
        <v>78.04000000000001</v>
      </c>
      <c r="E408" s="3" t="n">
        <v>14.43</v>
      </c>
      <c r="F408" s="3" t="n">
        <v>33.14</v>
      </c>
      <c r="G408" s="3" t="n">
        <v>10.83</v>
      </c>
      <c r="H408" s="3" t="n">
        <v>15.39</v>
      </c>
      <c r="I408" s="3" t="n">
        <v>2.48</v>
      </c>
      <c r="J408" s="3" t="n">
        <v>98.51000000000001</v>
      </c>
    </row>
    <row r="409">
      <c r="A409" s="8" t="n">
        <v>45021</v>
      </c>
      <c r="B409" s="3" t="n">
        <v>18.65</v>
      </c>
      <c r="C409" s="3" t="n">
        <v>38.75</v>
      </c>
      <c r="D409" s="3" t="n">
        <v>76.89</v>
      </c>
      <c r="E409" s="3" t="n">
        <v>14.4</v>
      </c>
      <c r="F409" s="3" t="n">
        <v>32.65</v>
      </c>
      <c r="G409" s="3" t="n">
        <v>10.79</v>
      </c>
      <c r="H409" s="3" t="n">
        <v>14.97</v>
      </c>
      <c r="I409" s="3" t="n">
        <v>2.36</v>
      </c>
      <c r="J409" s="3" t="n">
        <v>97.63</v>
      </c>
    </row>
    <row r="410">
      <c r="A410" s="8" t="n">
        <v>45022</v>
      </c>
      <c r="B410" s="3" t="n">
        <v>18.66</v>
      </c>
      <c r="C410" s="3" t="n">
        <v>38.61</v>
      </c>
      <c r="D410" s="3" t="n">
        <v>76.75</v>
      </c>
      <c r="E410" s="3" t="n">
        <v>14.43</v>
      </c>
      <c r="F410" s="3" t="n">
        <v>34.05</v>
      </c>
      <c r="G410" s="3" t="n">
        <v>10.7</v>
      </c>
      <c r="H410" s="3" t="n">
        <v>15.71</v>
      </c>
      <c r="I410" s="3" t="n">
        <v>2.37</v>
      </c>
      <c r="J410" s="3" t="n">
        <v>97.59</v>
      </c>
    </row>
    <row r="411">
      <c r="A411" s="8" t="n">
        <v>45026</v>
      </c>
      <c r="B411" s="3" t="n">
        <v>18.59</v>
      </c>
      <c r="C411" s="3" t="n">
        <v>38.39</v>
      </c>
      <c r="D411" s="3" t="n">
        <v>78.23</v>
      </c>
      <c r="E411" s="3" t="n">
        <v>14.46</v>
      </c>
      <c r="F411" s="3" t="n">
        <v>34.61</v>
      </c>
      <c r="G411" s="3" t="n">
        <v>10.91</v>
      </c>
      <c r="H411" s="3" t="n">
        <v>15.46</v>
      </c>
      <c r="I411" s="3" t="n">
        <v>2.35</v>
      </c>
      <c r="J411" s="3" t="n">
        <v>98.66</v>
      </c>
    </row>
    <row r="412">
      <c r="A412" s="8" t="n">
        <v>45027</v>
      </c>
      <c r="B412" s="3" t="n">
        <v>19.04</v>
      </c>
      <c r="C412" s="3" t="n">
        <v>39.09</v>
      </c>
      <c r="D412" s="3" t="n">
        <v>82.36</v>
      </c>
      <c r="E412" s="3" t="n">
        <v>14.78</v>
      </c>
      <c r="F412" s="3" t="n">
        <v>34.97</v>
      </c>
      <c r="G412" s="3" t="n">
        <v>11.63</v>
      </c>
      <c r="H412" s="3" t="n">
        <v>16.9</v>
      </c>
      <c r="I412" s="3" t="n">
        <v>2.65</v>
      </c>
      <c r="J412" s="3" t="n">
        <v>102.91</v>
      </c>
    </row>
    <row r="413">
      <c r="A413" s="8" t="n">
        <v>45028</v>
      </c>
      <c r="B413" s="3" t="n">
        <v>19.32</v>
      </c>
      <c r="C413" s="3" t="n">
        <v>39.74</v>
      </c>
      <c r="D413" s="3" t="n">
        <v>80.59999999999999</v>
      </c>
      <c r="E413" s="3" t="n">
        <v>14.76</v>
      </c>
      <c r="F413" s="3" t="n">
        <v>35.37</v>
      </c>
      <c r="G413" s="3" t="n">
        <v>11.86</v>
      </c>
      <c r="H413" s="3" t="n">
        <v>17.19</v>
      </c>
      <c r="I413" s="3" t="n">
        <v>2.68</v>
      </c>
      <c r="J413" s="3" t="n">
        <v>103.35</v>
      </c>
    </row>
    <row r="414">
      <c r="A414" s="8" t="n">
        <v>45029</v>
      </c>
      <c r="B414" s="3" t="n">
        <v>19.24</v>
      </c>
      <c r="C414" s="3" t="n">
        <v>39.37</v>
      </c>
      <c r="D414" s="3" t="n">
        <v>79.51000000000001</v>
      </c>
      <c r="E414" s="3" t="n">
        <v>14.59</v>
      </c>
      <c r="F414" s="3" t="n">
        <v>34.93</v>
      </c>
      <c r="G414" s="3" t="n">
        <v>11.74</v>
      </c>
      <c r="H414" s="3" t="n">
        <v>16.85</v>
      </c>
      <c r="I414" s="3" t="n">
        <v>2.64</v>
      </c>
      <c r="J414" s="3" t="n">
        <v>102.93</v>
      </c>
    </row>
    <row r="415">
      <c r="A415" s="8" t="n">
        <v>45030</v>
      </c>
      <c r="B415" s="3" t="n">
        <v>19.29</v>
      </c>
      <c r="C415" s="3" t="n">
        <v>38.76</v>
      </c>
      <c r="D415" s="3" t="n">
        <v>78.81</v>
      </c>
      <c r="E415" s="3" t="n">
        <v>14.65</v>
      </c>
      <c r="F415" s="3" t="n">
        <v>34.9</v>
      </c>
      <c r="G415" s="3" t="n">
        <v>11.97</v>
      </c>
      <c r="H415" s="3" t="n">
        <v>16.3</v>
      </c>
      <c r="I415" s="3" t="n">
        <v>2.6</v>
      </c>
      <c r="J415" s="3" t="n">
        <v>103.04</v>
      </c>
    </row>
    <row r="416">
      <c r="A416" s="8" t="n">
        <v>45033</v>
      </c>
      <c r="B416" s="3" t="n">
        <v>19.7</v>
      </c>
      <c r="C416" s="3" t="n">
        <v>39.48</v>
      </c>
      <c r="D416" s="3" t="n">
        <v>77.87</v>
      </c>
      <c r="E416" s="3" t="n">
        <v>14.75</v>
      </c>
      <c r="F416" s="3" t="n">
        <v>34.6</v>
      </c>
      <c r="G416" s="3" t="n">
        <v>12.02</v>
      </c>
      <c r="H416" s="3" t="n">
        <v>16.74</v>
      </c>
      <c r="I416" s="3" t="n">
        <v>2.54</v>
      </c>
      <c r="J416" s="3" t="n">
        <v>102.71</v>
      </c>
    </row>
    <row r="417">
      <c r="A417" s="8" t="n">
        <v>45034</v>
      </c>
      <c r="B417" s="3" t="n">
        <v>19.62</v>
      </c>
      <c r="C417" s="3" t="n">
        <v>39.27</v>
      </c>
      <c r="D417" s="3" t="n">
        <v>78.54000000000001</v>
      </c>
      <c r="E417" s="3" t="n">
        <v>14.63</v>
      </c>
      <c r="F417" s="3" t="n">
        <v>34.61</v>
      </c>
      <c r="G417" s="3" t="n">
        <v>11.89</v>
      </c>
      <c r="H417" s="3" t="n">
        <v>16.05</v>
      </c>
      <c r="I417" s="3" t="n">
        <v>2.4</v>
      </c>
      <c r="J417" s="3" t="n">
        <v>102.7</v>
      </c>
    </row>
    <row r="418">
      <c r="A418" s="8" t="n">
        <v>45035</v>
      </c>
      <c r="B418" s="3" t="n">
        <v>19.31</v>
      </c>
      <c r="C418" s="3" t="n">
        <v>39.11</v>
      </c>
      <c r="D418" s="3" t="n">
        <v>76.25</v>
      </c>
      <c r="E418" s="3" t="n">
        <v>14.58</v>
      </c>
      <c r="F418" s="3" t="n">
        <v>34.58</v>
      </c>
      <c r="G418" s="3" t="n">
        <v>11.59</v>
      </c>
      <c r="H418" s="3" t="n">
        <v>15.17</v>
      </c>
      <c r="I418" s="3" t="n">
        <v>2.36</v>
      </c>
      <c r="J418" s="3" t="n">
        <v>100.48</v>
      </c>
    </row>
    <row r="419">
      <c r="A419" s="8" t="n">
        <v>45036</v>
      </c>
      <c r="B419" s="3" t="n">
        <v>19.64</v>
      </c>
      <c r="C419" s="3" t="n">
        <v>40.25</v>
      </c>
      <c r="D419" s="3" t="n">
        <v>74.66</v>
      </c>
      <c r="E419" s="3" t="n">
        <v>14.6</v>
      </c>
      <c r="F419" s="3" t="n">
        <v>34.76</v>
      </c>
      <c r="G419" s="3" t="n">
        <v>11.66</v>
      </c>
      <c r="H419" s="3" t="n">
        <v>15.18</v>
      </c>
      <c r="I419" s="3" t="n">
        <v>2.59</v>
      </c>
      <c r="J419" s="3" t="n">
        <v>101</v>
      </c>
    </row>
    <row r="420">
      <c r="A420" s="8" t="n">
        <v>45040</v>
      </c>
      <c r="B420" s="3" t="n">
        <v>19.75</v>
      </c>
      <c r="C420" s="3" t="n">
        <v>40.35</v>
      </c>
      <c r="D420" s="3" t="n">
        <v>71.95999999999999</v>
      </c>
      <c r="E420" s="3" t="n">
        <v>14.34</v>
      </c>
      <c r="F420" s="3" t="n">
        <v>34.55</v>
      </c>
      <c r="G420" s="3" t="n">
        <v>11.76</v>
      </c>
      <c r="H420" s="3" t="n">
        <v>15.1</v>
      </c>
      <c r="I420" s="3" t="n">
        <v>2.61</v>
      </c>
      <c r="J420" s="3" t="n">
        <v>100.62</v>
      </c>
    </row>
    <row r="421">
      <c r="A421" s="8" t="n">
        <v>45041</v>
      </c>
      <c r="B421" s="3" t="n">
        <v>19.7</v>
      </c>
      <c r="C421" s="3" t="n">
        <v>40.54</v>
      </c>
      <c r="D421" s="3" t="n">
        <v>70</v>
      </c>
      <c r="E421" s="3" t="n">
        <v>14.29</v>
      </c>
      <c r="F421" s="3" t="n">
        <v>34.75</v>
      </c>
      <c r="G421" s="3" t="n">
        <v>11.8</v>
      </c>
      <c r="H421" s="3" t="n">
        <v>14.77</v>
      </c>
      <c r="I421" s="3" t="n">
        <v>2.56</v>
      </c>
      <c r="J421" s="3" t="n">
        <v>99.92</v>
      </c>
    </row>
    <row r="422">
      <c r="A422" s="8" t="n">
        <v>45042</v>
      </c>
      <c r="B422" s="3" t="n">
        <v>19.5</v>
      </c>
      <c r="C422" s="3" t="n">
        <v>40.11</v>
      </c>
      <c r="D422" s="3" t="n">
        <v>70.27</v>
      </c>
      <c r="E422" s="3" t="n">
        <v>14.21</v>
      </c>
      <c r="F422" s="3" t="n">
        <v>34.77</v>
      </c>
      <c r="G422" s="3" t="n">
        <v>11.25</v>
      </c>
      <c r="H422" s="3" t="n">
        <v>14.98</v>
      </c>
      <c r="I422" s="3" t="n">
        <v>2.49</v>
      </c>
      <c r="J422" s="3" t="n">
        <v>99.01000000000001</v>
      </c>
    </row>
    <row r="423">
      <c r="A423" s="8" t="n">
        <v>45043</v>
      </c>
      <c r="B423" s="3" t="n">
        <v>19.47</v>
      </c>
      <c r="C423" s="3" t="n">
        <v>40.35</v>
      </c>
      <c r="D423" s="3" t="n">
        <v>71.76000000000001</v>
      </c>
      <c r="E423" s="3" t="n">
        <v>14.16</v>
      </c>
      <c r="F423" s="3" t="n">
        <v>34.36</v>
      </c>
      <c r="G423" s="3" t="n">
        <v>11.48</v>
      </c>
      <c r="H423" s="3" t="n">
        <v>15.01</v>
      </c>
      <c r="I423" s="3" t="n">
        <v>2.56</v>
      </c>
      <c r="J423" s="3" t="n">
        <v>99.53</v>
      </c>
    </row>
    <row r="424">
      <c r="A424" s="8" t="n">
        <v>45044</v>
      </c>
      <c r="B424" s="3" t="n">
        <v>19.7</v>
      </c>
      <c r="C424" s="3" t="n">
        <v>41.12</v>
      </c>
      <c r="D424" s="3" t="n">
        <v>72.40000000000001</v>
      </c>
      <c r="E424" s="3" t="n">
        <v>14.16</v>
      </c>
      <c r="F424" s="3" t="n">
        <v>34.31</v>
      </c>
      <c r="G424" s="3" t="n">
        <v>11.68</v>
      </c>
      <c r="H424" s="3" t="n">
        <v>15.84</v>
      </c>
      <c r="I424" s="3" t="n">
        <v>2.76</v>
      </c>
      <c r="J424" s="3" t="n">
        <v>100.9</v>
      </c>
    </row>
    <row r="425">
      <c r="A425" s="8" t="n">
        <v>45048</v>
      </c>
      <c r="B425" s="3" t="n">
        <v>19.68</v>
      </c>
      <c r="C425" s="3" t="n">
        <v>40.82</v>
      </c>
      <c r="D425" s="3" t="n">
        <v>69.54000000000001</v>
      </c>
      <c r="E425" s="3" t="n">
        <v>14.26</v>
      </c>
      <c r="F425" s="3" t="n">
        <v>34.22</v>
      </c>
      <c r="G425" s="3" t="n">
        <v>11.33</v>
      </c>
      <c r="H425" s="3" t="n">
        <v>14.92</v>
      </c>
      <c r="I425" s="3" t="n">
        <v>2.79</v>
      </c>
      <c r="J425" s="3" t="n">
        <v>98.48999999999999</v>
      </c>
    </row>
    <row r="426">
      <c r="A426" s="8" t="n">
        <v>45049</v>
      </c>
      <c r="B426" s="3" t="n">
        <v>19.94</v>
      </c>
      <c r="C426" s="3" t="n">
        <v>39.9</v>
      </c>
      <c r="D426" s="3" t="n">
        <v>69</v>
      </c>
      <c r="E426" s="3" t="n">
        <v>14.58</v>
      </c>
      <c r="F426" s="3" t="n">
        <v>33.52</v>
      </c>
      <c r="G426" s="3" t="n">
        <v>11.51</v>
      </c>
      <c r="H426" s="3" t="n">
        <v>14.57</v>
      </c>
      <c r="I426" s="3" t="n">
        <v>2.77</v>
      </c>
      <c r="J426" s="3" t="n">
        <v>98.59999999999999</v>
      </c>
    </row>
    <row r="427">
      <c r="A427" s="8" t="n">
        <v>45050</v>
      </c>
      <c r="B427" s="3" t="n">
        <v>19.9</v>
      </c>
      <c r="C427" s="3" t="n">
        <v>39.3</v>
      </c>
      <c r="D427" s="3" t="n">
        <v>66.86</v>
      </c>
      <c r="E427" s="3" t="n">
        <v>14.63</v>
      </c>
      <c r="F427" s="3" t="n">
        <v>33.12</v>
      </c>
      <c r="G427" s="3" t="n">
        <v>11.83</v>
      </c>
      <c r="H427" s="3" t="n">
        <v>15.46</v>
      </c>
      <c r="I427" s="3" t="n">
        <v>2.84</v>
      </c>
      <c r="J427" s="3" t="n">
        <v>98.95</v>
      </c>
    </row>
    <row r="428">
      <c r="A428" s="8" t="n">
        <v>45051</v>
      </c>
      <c r="B428" s="3" t="n">
        <v>20.95</v>
      </c>
      <c r="C428" s="3" t="n">
        <v>39.22</v>
      </c>
      <c r="D428" s="3" t="n">
        <v>69.04000000000001</v>
      </c>
      <c r="E428" s="3" t="n">
        <v>14.49</v>
      </c>
      <c r="F428" s="3" t="n">
        <v>33.48</v>
      </c>
      <c r="G428" s="3" t="n">
        <v>12.49</v>
      </c>
      <c r="H428" s="3" t="n">
        <v>16.9</v>
      </c>
      <c r="I428" s="3" t="n">
        <v>2.93</v>
      </c>
      <c r="J428" s="3" t="n">
        <v>101.91</v>
      </c>
    </row>
    <row r="429">
      <c r="A429" s="8" t="n">
        <v>45054</v>
      </c>
      <c r="B429" s="3" t="n">
        <v>20.56</v>
      </c>
      <c r="C429" s="3" t="n">
        <v>39.2</v>
      </c>
      <c r="D429" s="3" t="n">
        <v>69.97</v>
      </c>
      <c r="E429" s="3" t="n">
        <v>14.51</v>
      </c>
      <c r="F429" s="3" t="n">
        <v>33.43</v>
      </c>
      <c r="G429" s="3" t="n">
        <v>12.44</v>
      </c>
      <c r="H429" s="3" t="n">
        <v>16.8</v>
      </c>
      <c r="I429" s="3" t="n">
        <v>2.92</v>
      </c>
      <c r="J429" s="3" t="n">
        <v>102.49</v>
      </c>
    </row>
    <row r="430">
      <c r="A430" s="8" t="n">
        <v>45055</v>
      </c>
      <c r="B430" s="3" t="n">
        <v>20.49</v>
      </c>
      <c r="C430" s="3" t="n">
        <v>39.86</v>
      </c>
      <c r="D430" s="3" t="n">
        <v>70.69</v>
      </c>
      <c r="E430" s="3" t="n">
        <v>14.5</v>
      </c>
      <c r="F430" s="3" t="n">
        <v>33.71</v>
      </c>
      <c r="G430" s="3" t="n">
        <v>12.56</v>
      </c>
      <c r="H430" s="3" t="n">
        <v>17.5</v>
      </c>
      <c r="I430" s="3" t="n">
        <v>2.88</v>
      </c>
      <c r="J430" s="3" t="n">
        <v>103.8</v>
      </c>
    </row>
    <row r="431">
      <c r="A431" s="8" t="n">
        <v>45056</v>
      </c>
      <c r="B431" s="3" t="n">
        <v>20.49</v>
      </c>
      <c r="C431" s="3" t="n">
        <v>39.35</v>
      </c>
      <c r="D431" s="3" t="n">
        <v>69.36</v>
      </c>
      <c r="E431" s="3" t="n">
        <v>14.4</v>
      </c>
      <c r="F431" s="3" t="n">
        <v>33.8</v>
      </c>
      <c r="G431" s="3" t="n">
        <v>12.55</v>
      </c>
      <c r="H431" s="3" t="n">
        <v>17.5</v>
      </c>
      <c r="I431" s="3" t="n">
        <v>3.02</v>
      </c>
      <c r="J431" s="3" t="n">
        <v>103.97</v>
      </c>
    </row>
    <row r="432">
      <c r="A432" s="8" t="n">
        <v>45057</v>
      </c>
      <c r="B432" s="3" t="n">
        <v>20.84</v>
      </c>
      <c r="C432" s="3" t="n">
        <v>39.32</v>
      </c>
      <c r="D432" s="3" t="n">
        <v>68.01000000000001</v>
      </c>
      <c r="E432" s="3" t="n">
        <v>14.5</v>
      </c>
      <c r="F432" s="3" t="n">
        <v>33.97</v>
      </c>
      <c r="G432" s="3" t="n">
        <v>12.78</v>
      </c>
      <c r="H432" s="3" t="n">
        <v>16.92</v>
      </c>
      <c r="I432" s="3" t="n">
        <v>3.07</v>
      </c>
      <c r="J432" s="3" t="n">
        <v>104.82</v>
      </c>
    </row>
    <row r="433">
      <c r="A433" s="8" t="n">
        <v>45058</v>
      </c>
      <c r="B433" s="3" t="n">
        <v>20.85</v>
      </c>
      <c r="C433" s="3" t="n">
        <v>38.91</v>
      </c>
      <c r="D433" s="3" t="n">
        <v>68.08</v>
      </c>
      <c r="E433" s="3" t="n">
        <v>14.45</v>
      </c>
      <c r="F433" s="3" t="n">
        <v>34.16</v>
      </c>
      <c r="G433" s="3" t="n">
        <v>12.83</v>
      </c>
      <c r="H433" s="3" t="n">
        <v>16.82</v>
      </c>
      <c r="I433" s="3" t="n">
        <v>3.12</v>
      </c>
      <c r="J433" s="3" t="n">
        <v>105.05</v>
      </c>
    </row>
    <row r="434">
      <c r="A434" s="8" t="n">
        <v>45061</v>
      </c>
      <c r="B434" s="3" t="n">
        <v>20.99</v>
      </c>
      <c r="C434" s="3" t="n">
        <v>39.64</v>
      </c>
      <c r="D434" s="3" t="n">
        <v>69.06</v>
      </c>
      <c r="E434" s="3" t="n">
        <v>14.62</v>
      </c>
      <c r="F434" s="3" t="n">
        <v>32.14</v>
      </c>
      <c r="G434" s="3" t="n">
        <v>13</v>
      </c>
      <c r="H434" s="3" t="n">
        <v>17.34</v>
      </c>
      <c r="I434" s="3" t="n">
        <v>3.15</v>
      </c>
      <c r="J434" s="3" t="n">
        <v>105.47</v>
      </c>
    </row>
    <row r="435">
      <c r="A435" s="8" t="n">
        <v>45062</v>
      </c>
      <c r="B435" s="3" t="n">
        <v>20.72</v>
      </c>
      <c r="C435" s="3" t="n">
        <v>39.7</v>
      </c>
      <c r="D435" s="3" t="n">
        <v>67.64</v>
      </c>
      <c r="E435" s="3" t="n">
        <v>14.6</v>
      </c>
      <c r="F435" s="3" t="n">
        <v>32.15</v>
      </c>
      <c r="G435" s="3" t="n">
        <v>12.81</v>
      </c>
      <c r="H435" s="3" t="n">
        <v>16.98</v>
      </c>
      <c r="I435" s="3" t="n">
        <v>3.41</v>
      </c>
      <c r="J435" s="3" t="n">
        <v>104.63</v>
      </c>
    </row>
    <row r="436">
      <c r="A436" s="8" t="n">
        <v>45063</v>
      </c>
      <c r="B436" s="3" t="n">
        <v>20.82</v>
      </c>
      <c r="C436" s="3" t="n">
        <v>39.46</v>
      </c>
      <c r="D436" s="3" t="n">
        <v>69.88</v>
      </c>
      <c r="E436" s="3" t="n">
        <v>14.56</v>
      </c>
      <c r="F436" s="3" t="n">
        <v>31.97</v>
      </c>
      <c r="G436" s="3" t="n">
        <v>13.32</v>
      </c>
      <c r="H436" s="3" t="n">
        <v>18.62</v>
      </c>
      <c r="I436" s="3" t="n">
        <v>3.48</v>
      </c>
      <c r="J436" s="3" t="n">
        <v>106.01</v>
      </c>
    </row>
    <row r="437">
      <c r="A437" s="8" t="n">
        <v>45064</v>
      </c>
      <c r="B437" s="3" t="n">
        <v>21.07</v>
      </c>
      <c r="C437" s="3" t="n">
        <v>39.3</v>
      </c>
      <c r="D437" s="3" t="n">
        <v>69.98</v>
      </c>
      <c r="E437" s="3" t="n">
        <v>14.55</v>
      </c>
      <c r="F437" s="3" t="n">
        <v>31.32</v>
      </c>
      <c r="G437" s="3" t="n">
        <v>13.49</v>
      </c>
      <c r="H437" s="3" t="n">
        <v>18.85</v>
      </c>
      <c r="I437" s="3" t="n">
        <v>3.67</v>
      </c>
      <c r="J437" s="3" t="n">
        <v>106.75</v>
      </c>
    </row>
    <row r="438">
      <c r="A438" s="8" t="n">
        <v>45065</v>
      </c>
      <c r="B438" s="3" t="n">
        <v>21.18</v>
      </c>
      <c r="C438" s="3" t="n">
        <v>40.13</v>
      </c>
      <c r="D438" s="3" t="n">
        <v>69.20999999999999</v>
      </c>
      <c r="E438" s="3" t="n">
        <v>14.58</v>
      </c>
      <c r="F438" s="3" t="n">
        <v>30.9</v>
      </c>
      <c r="G438" s="3" t="n">
        <v>13.56</v>
      </c>
      <c r="H438" s="3" t="n">
        <v>19.41</v>
      </c>
      <c r="I438" s="3" t="n">
        <v>3.61</v>
      </c>
      <c r="J438" s="3" t="n">
        <v>107.16</v>
      </c>
    </row>
    <row r="439">
      <c r="A439" s="8" t="n">
        <v>45068</v>
      </c>
      <c r="B439" s="3" t="n">
        <v>21.13</v>
      </c>
      <c r="C439" s="3" t="n">
        <v>40.36</v>
      </c>
      <c r="D439" s="3" t="n">
        <v>68.09999999999999</v>
      </c>
      <c r="E439" s="3" t="n">
        <v>14.62</v>
      </c>
      <c r="F439" s="3" t="n">
        <v>30.93</v>
      </c>
      <c r="G439" s="3" t="n">
        <v>13.39</v>
      </c>
      <c r="H439" s="3" t="n">
        <v>18.93</v>
      </c>
      <c r="I439" s="3" t="n">
        <v>3.7</v>
      </c>
      <c r="J439" s="3" t="n">
        <v>106.55</v>
      </c>
    </row>
    <row r="440">
      <c r="A440" s="8" t="n">
        <v>45069</v>
      </c>
      <c r="B440" s="3" t="n">
        <v>21.01</v>
      </c>
      <c r="C440" s="3" t="n">
        <v>40.22</v>
      </c>
      <c r="D440" s="3" t="n">
        <v>66.56</v>
      </c>
      <c r="E440" s="3" t="n">
        <v>14.59</v>
      </c>
      <c r="F440" s="3" t="n">
        <v>30.77</v>
      </c>
      <c r="G440" s="3" t="n">
        <v>13.21</v>
      </c>
      <c r="H440" s="3" t="n">
        <v>18.62</v>
      </c>
      <c r="I440" s="3" t="n">
        <v>3.65</v>
      </c>
      <c r="J440" s="3" t="n">
        <v>106.44</v>
      </c>
    </row>
    <row r="441">
      <c r="A441" s="8" t="n">
        <v>45070</v>
      </c>
      <c r="B441" s="3" t="n">
        <v>20.75</v>
      </c>
      <c r="C441" s="3" t="n">
        <v>39.82</v>
      </c>
      <c r="D441" s="3" t="n">
        <v>65.05</v>
      </c>
      <c r="E441" s="3" t="n">
        <v>14.66</v>
      </c>
      <c r="F441" s="3" t="n">
        <v>31.37</v>
      </c>
      <c r="G441" s="3" t="n">
        <v>12.86</v>
      </c>
      <c r="H441" s="3" t="n">
        <v>18.39</v>
      </c>
      <c r="I441" s="3" t="n">
        <v>3.55</v>
      </c>
      <c r="J441" s="3" t="n">
        <v>105.27</v>
      </c>
    </row>
    <row r="442">
      <c r="A442" s="8" t="n">
        <v>45071</v>
      </c>
      <c r="B442" s="3" t="n">
        <v>20.99</v>
      </c>
      <c r="C442" s="3" t="n">
        <v>39.04</v>
      </c>
      <c r="D442" s="3" t="n">
        <v>64.84999999999999</v>
      </c>
      <c r="E442" s="3" t="n">
        <v>14.74</v>
      </c>
      <c r="F442" s="3" t="n">
        <v>31.81</v>
      </c>
      <c r="G442" s="3" t="n">
        <v>13.18</v>
      </c>
      <c r="H442" s="3" t="n">
        <v>19.5</v>
      </c>
      <c r="I442" s="3" t="n">
        <v>3.94</v>
      </c>
      <c r="J442" s="3" t="n">
        <v>106.55</v>
      </c>
    </row>
    <row r="443">
      <c r="A443" s="8" t="n">
        <v>45072</v>
      </c>
      <c r="B443" s="3" t="n">
        <v>21</v>
      </c>
      <c r="C443" s="3" t="n">
        <v>39.51</v>
      </c>
      <c r="D443" s="3" t="n">
        <v>66.33</v>
      </c>
      <c r="E443" s="3" t="n">
        <v>14.76</v>
      </c>
      <c r="F443" s="3" t="n">
        <v>31.9</v>
      </c>
      <c r="G443" s="3" t="n">
        <v>13.66</v>
      </c>
      <c r="H443" s="3" t="n">
        <v>20.04</v>
      </c>
      <c r="I443" s="3" t="n">
        <v>3.9</v>
      </c>
      <c r="J443" s="3" t="n">
        <v>107.51</v>
      </c>
    </row>
    <row r="444">
      <c r="A444" s="8" t="n">
        <v>45075</v>
      </c>
      <c r="B444" s="3" t="n">
        <v>20.75</v>
      </c>
      <c r="C444" s="3" t="n">
        <v>38.88</v>
      </c>
      <c r="D444" s="3" t="n">
        <v>65.83</v>
      </c>
      <c r="E444" s="3" t="n">
        <v>14.76</v>
      </c>
      <c r="F444" s="3" t="n">
        <v>32.09</v>
      </c>
      <c r="G444" s="3" t="n">
        <v>13.53</v>
      </c>
      <c r="H444" s="3" t="n">
        <v>19.69</v>
      </c>
      <c r="I444" s="3" t="n">
        <v>3.9</v>
      </c>
      <c r="J444" s="3" t="n">
        <v>106.77</v>
      </c>
    </row>
    <row r="445">
      <c r="A445" s="8" t="n">
        <v>45076</v>
      </c>
      <c r="B445" s="3" t="n">
        <v>20.81</v>
      </c>
      <c r="C445" s="3" t="n">
        <v>38.34</v>
      </c>
      <c r="D445" s="3" t="n">
        <v>64.28</v>
      </c>
      <c r="E445" s="3" t="n">
        <v>14.48</v>
      </c>
      <c r="F445" s="3" t="n">
        <v>31.69</v>
      </c>
      <c r="G445" s="3" t="n">
        <v>13.35</v>
      </c>
      <c r="H445" s="3" t="n">
        <v>19.32</v>
      </c>
      <c r="I445" s="3" t="n">
        <v>4.06</v>
      </c>
      <c r="J445" s="3" t="n">
        <v>105.38</v>
      </c>
    </row>
    <row r="446">
      <c r="A446" s="8" t="n">
        <v>45077</v>
      </c>
      <c r="B446" s="3" t="n">
        <v>20.82</v>
      </c>
      <c r="C446" s="3" t="n">
        <v>37.61</v>
      </c>
      <c r="D446" s="3" t="n">
        <v>63.81</v>
      </c>
      <c r="E446" s="3" t="n">
        <v>14.41</v>
      </c>
      <c r="F446" s="3" t="n">
        <v>30.93</v>
      </c>
      <c r="G446" s="3" t="n">
        <v>13.32</v>
      </c>
      <c r="H446" s="3" t="n">
        <v>19.45</v>
      </c>
      <c r="I446" s="3" t="n">
        <v>3.99</v>
      </c>
      <c r="J446" s="3" t="n">
        <v>104.84</v>
      </c>
    </row>
    <row r="447">
      <c r="A447" s="8" t="n">
        <v>45078</v>
      </c>
      <c r="B447" s="3" t="n">
        <v>21.97</v>
      </c>
      <c r="C447" s="3" t="n">
        <v>37.19</v>
      </c>
      <c r="D447" s="3" t="n">
        <v>65.16</v>
      </c>
      <c r="E447" s="3" t="n">
        <v>14.24</v>
      </c>
      <c r="F447" s="3" t="n">
        <v>30.52</v>
      </c>
      <c r="G447" s="3" t="n">
        <v>14.3</v>
      </c>
      <c r="H447" s="3" t="n">
        <v>20.56</v>
      </c>
      <c r="I447" s="3" t="n">
        <v>4.1</v>
      </c>
      <c r="J447" s="3" t="n">
        <v>107.2</v>
      </c>
    </row>
    <row r="448">
      <c r="A448" s="8" t="n">
        <v>45079</v>
      </c>
      <c r="B448" s="3" t="n">
        <v>22.63</v>
      </c>
      <c r="C448" s="3" t="n">
        <v>37.67</v>
      </c>
      <c r="D448" s="3" t="n">
        <v>67.94</v>
      </c>
      <c r="E448" s="3" t="n">
        <v>14.46</v>
      </c>
      <c r="F448" s="3" t="n">
        <v>30.99</v>
      </c>
      <c r="G448" s="3" t="n">
        <v>14.42</v>
      </c>
      <c r="H448" s="3" t="n">
        <v>20.47</v>
      </c>
      <c r="I448" s="3" t="n">
        <v>4.12</v>
      </c>
      <c r="J448" s="3" t="n">
        <v>109.02</v>
      </c>
    </row>
    <row r="449">
      <c r="A449" s="8" t="n">
        <v>45082</v>
      </c>
      <c r="B449" s="3" t="n">
        <v>22.57</v>
      </c>
      <c r="C449" s="3" t="n">
        <v>37.63</v>
      </c>
      <c r="D449" s="3" t="n">
        <v>67.38</v>
      </c>
      <c r="E449" s="3" t="n">
        <v>14.41</v>
      </c>
      <c r="F449" s="3" t="n">
        <v>31.04</v>
      </c>
      <c r="G449" s="3" t="n">
        <v>14.46</v>
      </c>
      <c r="H449" s="3" t="n">
        <v>20.52</v>
      </c>
      <c r="I449" s="3" t="n">
        <v>4.16</v>
      </c>
      <c r="J449" s="3" t="n">
        <v>109.14</v>
      </c>
    </row>
    <row r="450">
      <c r="A450" s="8" t="n">
        <v>45083</v>
      </c>
      <c r="B450" s="3" t="n">
        <v>22.93</v>
      </c>
      <c r="C450" s="3" t="n">
        <v>38.2</v>
      </c>
      <c r="D450" s="3" t="n">
        <v>67.59999999999999</v>
      </c>
      <c r="E450" s="3" t="n">
        <v>14.82</v>
      </c>
      <c r="F450" s="3" t="n">
        <v>30.99</v>
      </c>
      <c r="G450" s="3" t="n">
        <v>14.41</v>
      </c>
      <c r="H450" s="3" t="n">
        <v>21.12</v>
      </c>
      <c r="I450" s="3" t="n">
        <v>4.35</v>
      </c>
      <c r="J450" s="3" t="n">
        <v>111.07</v>
      </c>
    </row>
    <row r="451">
      <c r="A451" s="8" t="n">
        <v>45084</v>
      </c>
      <c r="B451" s="3" t="n">
        <v>22.57</v>
      </c>
      <c r="C451" s="3" t="n">
        <v>38.15</v>
      </c>
      <c r="D451" s="3" t="n">
        <v>68.67</v>
      </c>
      <c r="E451" s="3" t="n">
        <v>14.85</v>
      </c>
      <c r="F451" s="3" t="n">
        <v>30.99</v>
      </c>
      <c r="G451" s="3" t="n">
        <v>14.74</v>
      </c>
      <c r="H451" s="3" t="n">
        <v>21.65</v>
      </c>
      <c r="I451" s="3" t="n">
        <v>4.24</v>
      </c>
      <c r="J451" s="3" t="n">
        <v>111.78</v>
      </c>
    </row>
    <row r="452">
      <c r="A452" s="8" t="n">
        <v>45086</v>
      </c>
      <c r="B452" s="3" t="n">
        <v>22.4</v>
      </c>
      <c r="C452" s="3" t="n">
        <v>37.8</v>
      </c>
      <c r="D452" s="3" t="n">
        <v>68.36</v>
      </c>
      <c r="E452" s="3" t="n">
        <v>15.14</v>
      </c>
      <c r="F452" s="3" t="n">
        <v>31.07</v>
      </c>
      <c r="G452" s="3" t="n">
        <v>14.7</v>
      </c>
      <c r="H452" s="3" t="n">
        <v>21.83</v>
      </c>
      <c r="I452" s="3" t="n">
        <v>4.24</v>
      </c>
      <c r="J452" s="3" t="n">
        <v>113.21</v>
      </c>
    </row>
    <row r="453">
      <c r="A453" s="8" t="n">
        <v>45089</v>
      </c>
      <c r="B453" s="3" t="n">
        <v>22.5</v>
      </c>
      <c r="C453" s="3" t="n">
        <v>37.75</v>
      </c>
      <c r="D453" s="3" t="n">
        <v>67.12</v>
      </c>
      <c r="E453" s="3" t="n">
        <v>15.16</v>
      </c>
      <c r="F453" s="3" t="n">
        <v>30.83</v>
      </c>
      <c r="G453" s="3" t="n">
        <v>14.9</v>
      </c>
      <c r="H453" s="3" t="n">
        <v>22.82</v>
      </c>
      <c r="I453" s="3" t="n">
        <v>4.12</v>
      </c>
      <c r="J453" s="3" t="n">
        <v>113.64</v>
      </c>
    </row>
    <row r="454">
      <c r="A454" s="8" t="n">
        <v>45090</v>
      </c>
      <c r="B454" s="3" t="n">
        <v>22.58</v>
      </c>
      <c r="C454" s="3" t="n">
        <v>37.35</v>
      </c>
      <c r="D454" s="3" t="n">
        <v>67.83</v>
      </c>
      <c r="E454" s="3" t="n">
        <v>15.27</v>
      </c>
      <c r="F454" s="3" t="n">
        <v>30.61</v>
      </c>
      <c r="G454" s="3" t="n">
        <v>14.61</v>
      </c>
      <c r="H454" s="3" t="n">
        <v>21.5</v>
      </c>
      <c r="I454" s="3" t="n">
        <v>3.97</v>
      </c>
      <c r="J454" s="3" t="n">
        <v>112.94</v>
      </c>
    </row>
    <row r="455">
      <c r="A455" s="8" t="n">
        <v>45091</v>
      </c>
      <c r="B455" s="3" t="n">
        <v>22.95</v>
      </c>
      <c r="C455" s="3" t="n">
        <v>37.87</v>
      </c>
      <c r="D455" s="3" t="n">
        <v>69.02</v>
      </c>
      <c r="E455" s="3" t="n">
        <v>15.33</v>
      </c>
      <c r="F455" s="3" t="n">
        <v>30.53</v>
      </c>
      <c r="G455" s="3" t="n">
        <v>15.22</v>
      </c>
      <c r="H455" s="3" t="n">
        <v>21.49</v>
      </c>
      <c r="I455" s="3" t="n">
        <v>4.3</v>
      </c>
      <c r="J455" s="3" t="n">
        <v>115.11</v>
      </c>
    </row>
    <row r="456">
      <c r="A456" s="8" t="n">
        <v>45092</v>
      </c>
      <c r="B456" s="3" t="n">
        <v>22.96</v>
      </c>
      <c r="C456" s="3" t="n">
        <v>37.84</v>
      </c>
      <c r="D456" s="3" t="n">
        <v>69.56</v>
      </c>
      <c r="E456" s="3" t="n">
        <v>15.19</v>
      </c>
      <c r="F456" s="3" t="n">
        <v>30.58</v>
      </c>
      <c r="G456" s="3" t="n">
        <v>14.71</v>
      </c>
      <c r="H456" s="3" t="n">
        <v>21.07</v>
      </c>
      <c r="I456" s="3" t="n">
        <v>4.46</v>
      </c>
      <c r="J456" s="3" t="n">
        <v>115.4</v>
      </c>
    </row>
    <row r="457">
      <c r="A457" s="8" t="n">
        <v>45093</v>
      </c>
      <c r="B457" s="3" t="n">
        <v>21.87</v>
      </c>
      <c r="C457" s="3" t="n">
        <v>37.85</v>
      </c>
      <c r="D457" s="3" t="n">
        <v>69.67</v>
      </c>
      <c r="E457" s="3" t="n">
        <v>15.07</v>
      </c>
      <c r="F457" s="3" t="n">
        <v>30.45</v>
      </c>
      <c r="G457" s="3" t="n">
        <v>14.62</v>
      </c>
      <c r="H457" s="3" t="n">
        <v>20.33</v>
      </c>
      <c r="I457" s="3" t="n">
        <v>4.35</v>
      </c>
      <c r="J457" s="3" t="n">
        <v>114.9</v>
      </c>
    </row>
    <row r="458">
      <c r="A458" s="8" t="n">
        <v>45096</v>
      </c>
      <c r="B458" s="3" t="n">
        <v>22.13</v>
      </c>
      <c r="C458" s="3" t="n">
        <v>37.67</v>
      </c>
      <c r="D458" s="3" t="n">
        <v>69.40000000000001</v>
      </c>
      <c r="E458" s="3" t="n">
        <v>15.11</v>
      </c>
      <c r="F458" s="3" t="n">
        <v>30.25</v>
      </c>
      <c r="G458" s="3" t="n">
        <v>14.8</v>
      </c>
      <c r="H458" s="3" t="n">
        <v>20.78</v>
      </c>
      <c r="I458" s="3" t="n">
        <v>4.28</v>
      </c>
      <c r="J458" s="3" t="n">
        <v>116.13</v>
      </c>
    </row>
    <row r="459">
      <c r="A459" s="8" t="n">
        <v>45097</v>
      </c>
      <c r="B459" s="3" t="n">
        <v>22.42</v>
      </c>
      <c r="C459" s="3" t="n">
        <v>36.95</v>
      </c>
      <c r="D459" s="3" t="n">
        <v>67.61</v>
      </c>
      <c r="E459" s="3" t="n">
        <v>15.14</v>
      </c>
      <c r="F459" s="3" t="n">
        <v>30.23</v>
      </c>
      <c r="G459" s="3" t="n">
        <v>14.73</v>
      </c>
      <c r="H459" s="3" t="n">
        <v>21.58</v>
      </c>
      <c r="I459" s="3" t="n">
        <v>4.2</v>
      </c>
      <c r="J459" s="3" t="n">
        <v>115.82</v>
      </c>
    </row>
    <row r="460">
      <c r="A460" s="8" t="n">
        <v>45098</v>
      </c>
      <c r="B460" s="3" t="n">
        <v>22.27</v>
      </c>
      <c r="C460" s="3" t="n">
        <v>36.45</v>
      </c>
      <c r="D460" s="3" t="n">
        <v>66.93000000000001</v>
      </c>
      <c r="E460" s="3" t="n">
        <v>15.28</v>
      </c>
      <c r="F460" s="3" t="n">
        <v>30.34</v>
      </c>
      <c r="G460" s="3" t="n">
        <v>14.64</v>
      </c>
      <c r="H460" s="3" t="n">
        <v>21.76</v>
      </c>
      <c r="I460" s="3" t="n">
        <v>4.19</v>
      </c>
      <c r="J460" s="3" t="n">
        <v>116.27</v>
      </c>
    </row>
    <row r="461">
      <c r="A461" s="8" t="n">
        <v>45099</v>
      </c>
      <c r="B461" s="3" t="n">
        <v>22.16</v>
      </c>
      <c r="C461" s="3" t="n">
        <v>36.4</v>
      </c>
      <c r="D461" s="3" t="n">
        <v>66.56999999999999</v>
      </c>
      <c r="E461" s="3" t="n">
        <v>15.55</v>
      </c>
      <c r="F461" s="3" t="n">
        <v>30.39</v>
      </c>
      <c r="G461" s="3" t="n">
        <v>14.2</v>
      </c>
      <c r="H461" s="3" t="n">
        <v>21.4</v>
      </c>
      <c r="I461" s="3" t="n">
        <v>4.23</v>
      </c>
      <c r="J461" s="3" t="n">
        <v>115.26</v>
      </c>
    </row>
    <row r="462">
      <c r="A462" s="8" t="n">
        <v>45100</v>
      </c>
      <c r="B462" s="3" t="n">
        <v>21.82</v>
      </c>
      <c r="C462" s="3" t="n">
        <v>36.6</v>
      </c>
      <c r="D462" s="3" t="n">
        <v>65.90000000000001</v>
      </c>
      <c r="E462" s="3" t="n">
        <v>15.49</v>
      </c>
      <c r="F462" s="3" t="n">
        <v>30.59</v>
      </c>
      <c r="G462" s="3" t="n">
        <v>14.43</v>
      </c>
      <c r="H462" s="3" t="n">
        <v>22.31</v>
      </c>
      <c r="I462" s="3" t="n">
        <v>4.33</v>
      </c>
      <c r="J462" s="3" t="n">
        <v>115.31</v>
      </c>
    </row>
    <row r="463">
      <c r="A463" s="8" t="n">
        <v>45103</v>
      </c>
      <c r="B463" s="3" t="n">
        <v>21.68</v>
      </c>
      <c r="C463" s="3" t="n">
        <v>36.4</v>
      </c>
      <c r="D463" s="3" t="n">
        <v>66.04000000000001</v>
      </c>
      <c r="E463" s="3" t="n">
        <v>15.34</v>
      </c>
      <c r="F463" s="3" t="n">
        <v>29.7</v>
      </c>
      <c r="G463" s="3" t="n">
        <v>14.05</v>
      </c>
      <c r="H463" s="3" t="n">
        <v>21.64</v>
      </c>
      <c r="I463" s="3" t="n">
        <v>4.11</v>
      </c>
      <c r="J463" s="3" t="n">
        <v>114.42</v>
      </c>
    </row>
    <row r="464">
      <c r="A464" s="8" t="n">
        <v>45104</v>
      </c>
      <c r="B464" s="3" t="n">
        <v>21.64</v>
      </c>
      <c r="C464" s="3" t="n">
        <v>36.5</v>
      </c>
      <c r="D464" s="3" t="n">
        <v>66.83</v>
      </c>
      <c r="E464" s="3" t="n">
        <v>15.38</v>
      </c>
      <c r="F464" s="3" t="n">
        <v>30.11</v>
      </c>
      <c r="G464" s="3" t="n">
        <v>14.06</v>
      </c>
      <c r="H464" s="3" t="n">
        <v>21.09</v>
      </c>
      <c r="I464" s="3" t="n">
        <v>4.08</v>
      </c>
      <c r="J464" s="3" t="n">
        <v>113.77</v>
      </c>
    </row>
    <row r="465">
      <c r="A465" s="8" t="n">
        <v>45105</v>
      </c>
      <c r="B465" s="3" t="n">
        <v>21.56</v>
      </c>
      <c r="C465" s="3" t="n">
        <v>36.58</v>
      </c>
      <c r="D465" s="3" t="n">
        <v>64.72</v>
      </c>
      <c r="E465" s="3" t="n">
        <v>15.22</v>
      </c>
      <c r="F465" s="3" t="n">
        <v>30.54</v>
      </c>
      <c r="G465" s="3" t="n">
        <v>13.95</v>
      </c>
      <c r="H465" s="3" t="n">
        <v>20.93</v>
      </c>
      <c r="I465" s="3" t="n">
        <v>4.14</v>
      </c>
      <c r="J465" s="3" t="n">
        <v>113.03</v>
      </c>
    </row>
    <row r="466">
      <c r="A466" s="8" t="n">
        <v>45106</v>
      </c>
      <c r="B466" s="3" t="n">
        <v>21.87</v>
      </c>
      <c r="C466" s="3" t="n">
        <v>36.84</v>
      </c>
      <c r="D466" s="3" t="n">
        <v>65.51000000000001</v>
      </c>
      <c r="E466" s="3" t="n">
        <v>15.22</v>
      </c>
      <c r="F466" s="3" t="n">
        <v>30.78</v>
      </c>
      <c r="G466" s="3" t="n">
        <v>14.64</v>
      </c>
      <c r="H466" s="3" t="n">
        <v>21.39</v>
      </c>
      <c r="I466" s="3" t="n">
        <v>4.2</v>
      </c>
      <c r="J466" s="3" t="n">
        <v>114.91</v>
      </c>
    </row>
    <row r="467">
      <c r="A467" s="8" t="n">
        <v>45107</v>
      </c>
      <c r="B467" s="3" t="n">
        <v>22.2</v>
      </c>
      <c r="C467" s="3" t="n">
        <v>37.75</v>
      </c>
      <c r="D467" s="3" t="n">
        <v>64.22</v>
      </c>
      <c r="E467" s="3" t="n">
        <v>15.41</v>
      </c>
      <c r="F467" s="3" t="n">
        <v>30.77</v>
      </c>
      <c r="G467" s="3" t="n">
        <v>14.61</v>
      </c>
      <c r="H467" s="3" t="n">
        <v>20</v>
      </c>
      <c r="I467" s="3" t="n">
        <v>4.38</v>
      </c>
      <c r="J467" s="3" t="n">
        <v>114.17</v>
      </c>
    </row>
    <row r="468">
      <c r="A468" s="8" t="n">
        <v>45110</v>
      </c>
      <c r="B468" s="3" t="n">
        <v>22.64</v>
      </c>
      <c r="C468" s="3" t="n">
        <v>37.69</v>
      </c>
      <c r="D468" s="3" t="n">
        <v>66.23</v>
      </c>
      <c r="E468" s="3" t="n">
        <v>15.41</v>
      </c>
      <c r="F468" s="3" t="n">
        <v>31.51</v>
      </c>
      <c r="G468" s="3" t="n">
        <v>14.93</v>
      </c>
      <c r="H468" s="3" t="n">
        <v>20.29</v>
      </c>
      <c r="I468" s="3" t="n">
        <v>4.42</v>
      </c>
      <c r="J468" s="3" t="n">
        <v>115.94</v>
      </c>
    </row>
    <row r="469">
      <c r="A469" s="8" t="n">
        <v>45111</v>
      </c>
      <c r="B469" s="3" t="n">
        <v>22.75</v>
      </c>
      <c r="C469" s="3" t="n">
        <v>37.19</v>
      </c>
      <c r="D469" s="3" t="n">
        <v>65.90000000000001</v>
      </c>
      <c r="E469" s="3" t="n">
        <v>15.14</v>
      </c>
      <c r="F469" s="3" t="n">
        <v>31.63</v>
      </c>
      <c r="G469" s="3" t="n">
        <v>14.74</v>
      </c>
      <c r="H469" s="3" t="n">
        <v>20.28</v>
      </c>
      <c r="I469" s="3" t="n">
        <v>4.32</v>
      </c>
      <c r="J469" s="3" t="n">
        <v>115.24</v>
      </c>
    </row>
    <row r="470">
      <c r="A470" s="8" t="n">
        <v>45112</v>
      </c>
      <c r="B470" s="3" t="n">
        <v>22.88</v>
      </c>
      <c r="C470" s="3" t="n">
        <v>37.5</v>
      </c>
      <c r="D470" s="3" t="n">
        <v>65.31999999999999</v>
      </c>
      <c r="E470" s="3" t="n">
        <v>15.21</v>
      </c>
      <c r="F470" s="3" t="n">
        <v>31.51</v>
      </c>
      <c r="G470" s="3" t="n">
        <v>14.73</v>
      </c>
      <c r="H470" s="3" t="n">
        <v>20.45</v>
      </c>
      <c r="I470" s="3" t="n">
        <v>4.38</v>
      </c>
      <c r="J470" s="3" t="n">
        <v>115.84</v>
      </c>
    </row>
    <row r="471">
      <c r="A471" s="8" t="n">
        <v>45113</v>
      </c>
      <c r="B471" s="3" t="n">
        <v>22.42</v>
      </c>
      <c r="C471" s="3" t="n">
        <v>36.89</v>
      </c>
      <c r="D471" s="3" t="n">
        <v>64.84999999999999</v>
      </c>
      <c r="E471" s="3" t="n">
        <v>14.83</v>
      </c>
      <c r="F471" s="3" t="n">
        <v>31.26</v>
      </c>
      <c r="G471" s="3" t="n">
        <v>14.18</v>
      </c>
      <c r="H471" s="3" t="n">
        <v>19.8</v>
      </c>
      <c r="I471" s="3" t="n">
        <v>4.31</v>
      </c>
      <c r="J471" s="3" t="n">
        <v>113.64</v>
      </c>
    </row>
    <row r="472">
      <c r="A472" s="8" t="n">
        <v>45114</v>
      </c>
      <c r="B472" s="3" t="n">
        <v>22.72</v>
      </c>
      <c r="C472" s="3" t="n">
        <v>37</v>
      </c>
      <c r="D472" s="3" t="n">
        <v>65.45999999999999</v>
      </c>
      <c r="E472" s="3" t="n">
        <v>14.85</v>
      </c>
      <c r="F472" s="3" t="n">
        <v>31.32</v>
      </c>
      <c r="G472" s="3" t="n">
        <v>14.36</v>
      </c>
      <c r="H472" s="3" t="n">
        <v>20.42</v>
      </c>
      <c r="I472" s="3" t="n">
        <v>4.37</v>
      </c>
      <c r="J472" s="3" t="n">
        <v>115.19</v>
      </c>
    </row>
    <row r="473">
      <c r="A473" s="8" t="n">
        <v>45117</v>
      </c>
      <c r="B473" s="3" t="n">
        <v>22.2</v>
      </c>
      <c r="C473" s="3" t="n">
        <v>36.29</v>
      </c>
      <c r="D473" s="3" t="n">
        <v>64.45999999999999</v>
      </c>
      <c r="E473" s="3" t="n">
        <v>15.01</v>
      </c>
      <c r="F473" s="3" t="n">
        <v>31.18</v>
      </c>
      <c r="G473" s="3" t="n">
        <v>14.08</v>
      </c>
      <c r="H473" s="3" t="n">
        <v>19.1</v>
      </c>
      <c r="I473" s="3" t="n">
        <v>4.32</v>
      </c>
      <c r="J473" s="3" t="n">
        <v>114.1</v>
      </c>
    </row>
    <row r="474">
      <c r="A474" s="8" t="n">
        <v>45118</v>
      </c>
      <c r="B474" s="3" t="n">
        <v>22.22</v>
      </c>
      <c r="C474" s="3" t="n">
        <v>35.95</v>
      </c>
      <c r="D474" s="3" t="n">
        <v>66.58</v>
      </c>
      <c r="E474" s="3" t="n">
        <v>14.63</v>
      </c>
      <c r="F474" s="3" t="n">
        <v>31.1</v>
      </c>
      <c r="G474" s="3" t="n">
        <v>13.93</v>
      </c>
      <c r="H474" s="3" t="n">
        <v>18.86</v>
      </c>
      <c r="I474" s="3" t="n">
        <v>4.45</v>
      </c>
      <c r="J474" s="3" t="n">
        <v>113.8</v>
      </c>
    </row>
    <row r="475">
      <c r="A475" s="8" t="n">
        <v>45119</v>
      </c>
      <c r="B475" s="3" t="n">
        <v>22.64</v>
      </c>
      <c r="C475" s="3" t="n">
        <v>36.06</v>
      </c>
      <c r="D475" s="3" t="n">
        <v>67.05</v>
      </c>
      <c r="E475" s="3" t="n">
        <v>14.69</v>
      </c>
      <c r="F475" s="3" t="n">
        <v>30.74</v>
      </c>
      <c r="G475" s="3" t="n">
        <v>14.25</v>
      </c>
      <c r="H475" s="3" t="n">
        <v>18.57</v>
      </c>
      <c r="I475" s="3" t="n">
        <v>4.34</v>
      </c>
      <c r="J475" s="3" t="n">
        <v>113.83</v>
      </c>
    </row>
    <row r="476">
      <c r="A476" s="8" t="n">
        <v>45120</v>
      </c>
      <c r="B476" s="3" t="n">
        <v>22.79</v>
      </c>
      <c r="C476" s="3" t="n">
        <v>36.06</v>
      </c>
      <c r="D476" s="3" t="n">
        <v>68.61</v>
      </c>
      <c r="E476" s="3" t="n">
        <v>14.76</v>
      </c>
      <c r="F476" s="3" t="n">
        <v>30.66</v>
      </c>
      <c r="G476" s="3" t="n">
        <v>14.56</v>
      </c>
      <c r="H476" s="3" t="n">
        <v>18.45</v>
      </c>
      <c r="I476" s="3" t="n">
        <v>4.3</v>
      </c>
      <c r="J476" s="3" t="n">
        <v>115.58</v>
      </c>
    </row>
    <row r="477">
      <c r="A477" s="8" t="n">
        <v>45121</v>
      </c>
      <c r="B477" s="3" t="n">
        <v>22.44</v>
      </c>
      <c r="C477" s="3" t="n">
        <v>36</v>
      </c>
      <c r="D477" s="3" t="n">
        <v>68.61</v>
      </c>
      <c r="E477" s="3" t="n">
        <v>14.74</v>
      </c>
      <c r="F477" s="3" t="n">
        <v>30.44</v>
      </c>
      <c r="G477" s="3" t="n">
        <v>14.45</v>
      </c>
      <c r="H477" s="3" t="n">
        <v>17.83</v>
      </c>
      <c r="I477" s="3" t="n">
        <v>4.13</v>
      </c>
      <c r="J477" s="3" t="n">
        <v>113.96</v>
      </c>
    </row>
    <row r="478">
      <c r="A478" s="8" t="n">
        <v>45124</v>
      </c>
      <c r="B478" s="3" t="n">
        <v>22.67</v>
      </c>
      <c r="C478" s="3" t="n">
        <v>35.3</v>
      </c>
      <c r="D478" s="3" t="n">
        <v>67.84999999999999</v>
      </c>
      <c r="E478" s="3" t="n">
        <v>14.82</v>
      </c>
      <c r="F478" s="3" t="n">
        <v>30.48</v>
      </c>
      <c r="G478" s="3" t="n">
        <v>14.59</v>
      </c>
      <c r="H478" s="3" t="n">
        <v>17.96</v>
      </c>
      <c r="I478" s="3" t="n">
        <v>4.18</v>
      </c>
      <c r="J478" s="3" t="n">
        <v>114.71</v>
      </c>
    </row>
    <row r="479">
      <c r="A479" s="8" t="n">
        <v>45125</v>
      </c>
      <c r="B479" s="3" t="n">
        <v>22.63</v>
      </c>
      <c r="C479" s="3" t="n">
        <v>35.94</v>
      </c>
      <c r="D479" s="3" t="n">
        <v>67.42</v>
      </c>
      <c r="E479" s="3" t="n">
        <v>14.67</v>
      </c>
      <c r="F479" s="3" t="n">
        <v>30.13</v>
      </c>
      <c r="G479" s="3" t="n">
        <v>14.71</v>
      </c>
      <c r="H479" s="3" t="n">
        <v>18.11</v>
      </c>
      <c r="I479" s="3" t="n">
        <v>4.18</v>
      </c>
      <c r="J479" s="3" t="n">
        <v>113.95</v>
      </c>
    </row>
    <row r="480">
      <c r="A480" s="8" t="n">
        <v>45126</v>
      </c>
      <c r="B480" s="3" t="n">
        <v>22.8</v>
      </c>
      <c r="C480" s="3" t="n">
        <v>37.91</v>
      </c>
      <c r="D480" s="3" t="n">
        <v>67.23999999999999</v>
      </c>
      <c r="E480" s="3" t="n">
        <v>14.63</v>
      </c>
      <c r="F480" s="3" t="n">
        <v>30.18</v>
      </c>
      <c r="G480" s="3" t="n">
        <v>14.6</v>
      </c>
      <c r="H480" s="3" t="n">
        <v>17.78</v>
      </c>
      <c r="I480" s="3" t="n">
        <v>4.13</v>
      </c>
      <c r="J480" s="3" t="n">
        <v>113.75</v>
      </c>
    </row>
    <row r="481">
      <c r="A481" s="8" t="n">
        <v>45127</v>
      </c>
      <c r="B481" s="3" t="n">
        <v>22.94</v>
      </c>
      <c r="C481" s="3" t="n">
        <v>38.16</v>
      </c>
      <c r="D481" s="3" t="n">
        <v>67.39</v>
      </c>
      <c r="E481" s="3" t="n">
        <v>14.92</v>
      </c>
      <c r="F481" s="3" t="n">
        <v>30.71</v>
      </c>
      <c r="G481" s="3" t="n">
        <v>14.61</v>
      </c>
      <c r="H481" s="3" t="n">
        <v>17.88</v>
      </c>
      <c r="I481" s="3" t="n">
        <v>4.16</v>
      </c>
      <c r="J481" s="3" t="n">
        <v>114.34</v>
      </c>
    </row>
    <row r="482">
      <c r="A482" s="8" t="n">
        <v>45128</v>
      </c>
      <c r="B482" s="3" t="n">
        <v>23.35</v>
      </c>
      <c r="C482" s="3" t="n">
        <v>38.89</v>
      </c>
      <c r="D482" s="3" t="n">
        <v>67.8</v>
      </c>
      <c r="E482" s="3" t="n">
        <v>15.3</v>
      </c>
      <c r="F482" s="3" t="n">
        <v>31.05</v>
      </c>
      <c r="G482" s="3" t="n">
        <v>15.17</v>
      </c>
      <c r="H482" s="3" t="n">
        <v>18.3</v>
      </c>
      <c r="I482" s="3" t="n">
        <v>4.26</v>
      </c>
      <c r="J482" s="3" t="n">
        <v>116.4</v>
      </c>
    </row>
    <row r="483">
      <c r="A483" s="8" t="n">
        <v>45131</v>
      </c>
      <c r="B483" s="3" t="n">
        <v>24.02</v>
      </c>
      <c r="C483" s="3" t="n">
        <v>41.54</v>
      </c>
      <c r="D483" s="3" t="n">
        <v>69.84999999999999</v>
      </c>
      <c r="E483" s="3" t="n">
        <v>15.12</v>
      </c>
      <c r="F483" s="3" t="n">
        <v>31.47</v>
      </c>
      <c r="G483" s="3" t="n">
        <v>15.1</v>
      </c>
      <c r="H483" s="3" t="n">
        <v>18.86</v>
      </c>
      <c r="I483" s="3" t="n">
        <v>4.34</v>
      </c>
      <c r="J483" s="3" t="n">
        <v>117.57</v>
      </c>
    </row>
    <row r="484">
      <c r="A484" s="8" t="n">
        <v>45132</v>
      </c>
      <c r="B484" s="3" t="n">
        <v>24.09</v>
      </c>
      <c r="C484" s="3" t="n">
        <v>40.5</v>
      </c>
      <c r="D484" s="3" t="n">
        <v>72.01000000000001</v>
      </c>
      <c r="E484" s="3" t="n">
        <v>15.03</v>
      </c>
      <c r="F484" s="3" t="n">
        <v>31.19</v>
      </c>
      <c r="G484" s="3" t="n">
        <v>14.99</v>
      </c>
      <c r="H484" s="3" t="n">
        <v>18.64</v>
      </c>
      <c r="I484" s="3" t="n">
        <v>4.44</v>
      </c>
      <c r="J484" s="3" t="n">
        <v>117.98</v>
      </c>
    </row>
    <row r="485">
      <c r="A485" s="8" t="n">
        <v>45133</v>
      </c>
      <c r="B485" s="3" t="n">
        <v>24</v>
      </c>
      <c r="C485" s="3" t="n">
        <v>40.48</v>
      </c>
      <c r="D485" s="3" t="n">
        <v>71.76000000000001</v>
      </c>
      <c r="E485" s="3" t="n">
        <v>14.98</v>
      </c>
      <c r="F485" s="3" t="n">
        <v>31.4</v>
      </c>
      <c r="G485" s="3" t="n">
        <v>14.95</v>
      </c>
      <c r="H485" s="3" t="n">
        <v>19</v>
      </c>
      <c r="I485" s="3" t="n">
        <v>4.6</v>
      </c>
      <c r="J485" s="3" t="n">
        <v>118.74</v>
      </c>
    </row>
    <row r="486">
      <c r="A486" s="8" t="n">
        <v>45134</v>
      </c>
      <c r="B486" s="3" t="n">
        <v>23.37</v>
      </c>
      <c r="C486" s="3" t="n">
        <v>40.35</v>
      </c>
      <c r="D486" s="3" t="n">
        <v>70.42</v>
      </c>
      <c r="E486" s="3" t="n">
        <v>14.7</v>
      </c>
      <c r="F486" s="3" t="n">
        <v>30.87</v>
      </c>
      <c r="G486" s="3" t="n">
        <v>14.6</v>
      </c>
      <c r="H486" s="3" t="n">
        <v>18.63</v>
      </c>
      <c r="I486" s="3" t="n">
        <v>4.54</v>
      </c>
      <c r="J486" s="3" t="n">
        <v>116.04</v>
      </c>
    </row>
    <row r="487">
      <c r="A487" s="8" t="n">
        <v>45135</v>
      </c>
      <c r="B487" s="3" t="n">
        <v>23.37</v>
      </c>
      <c r="C487" s="3" t="n">
        <v>40.32</v>
      </c>
      <c r="D487" s="3" t="n">
        <v>67.63</v>
      </c>
      <c r="E487" s="3" t="n">
        <v>14.96</v>
      </c>
      <c r="F487" s="3" t="n">
        <v>31.27</v>
      </c>
      <c r="G487" s="3" t="n">
        <v>14.72</v>
      </c>
      <c r="H487" s="3" t="n">
        <v>18.64</v>
      </c>
      <c r="I487" s="3" t="n">
        <v>4.62</v>
      </c>
      <c r="J487" s="3" t="n">
        <v>116.52</v>
      </c>
    </row>
    <row r="488">
      <c r="A488" s="8" t="n">
        <v>45138</v>
      </c>
      <c r="B488" s="3" t="n">
        <v>23.24</v>
      </c>
      <c r="C488" s="3" t="n">
        <v>39.92</v>
      </c>
      <c r="D488" s="3" t="n">
        <v>69.16</v>
      </c>
      <c r="E488" s="3" t="n">
        <v>14.86</v>
      </c>
      <c r="F488" s="3" t="n">
        <v>31.12</v>
      </c>
      <c r="G488" s="3" t="n">
        <v>14.9</v>
      </c>
      <c r="H488" s="3" t="n">
        <v>18.75</v>
      </c>
      <c r="I488" s="3" t="n">
        <v>4.8</v>
      </c>
      <c r="J488" s="3" t="n">
        <v>117.95</v>
      </c>
    </row>
    <row r="489">
      <c r="A489" s="8" t="n">
        <v>45139</v>
      </c>
      <c r="B489" s="3" t="n">
        <v>23</v>
      </c>
      <c r="C489" s="3" t="n">
        <v>39.86</v>
      </c>
      <c r="D489" s="3" t="n">
        <v>68.2</v>
      </c>
      <c r="E489" s="3" t="n">
        <v>14.97</v>
      </c>
      <c r="F489" s="3" t="n">
        <v>31.26</v>
      </c>
      <c r="G489" s="3" t="n">
        <v>14.74</v>
      </c>
      <c r="H489" s="3" t="n">
        <v>18.65</v>
      </c>
      <c r="I489" s="3" t="n">
        <v>4.84</v>
      </c>
      <c r="J489" s="3" t="n">
        <v>117.52</v>
      </c>
    </row>
    <row r="490">
      <c r="A490" s="8" t="n">
        <v>45140</v>
      </c>
      <c r="B490" s="3" t="n">
        <v>23.04</v>
      </c>
      <c r="C490" s="3" t="n">
        <v>40.03</v>
      </c>
      <c r="D490" s="3" t="n">
        <v>67.09</v>
      </c>
      <c r="E490" s="3" t="n">
        <v>15.05</v>
      </c>
      <c r="F490" s="3" t="n">
        <v>31.28</v>
      </c>
      <c r="G490" s="3" t="n">
        <v>14.77</v>
      </c>
      <c r="H490" s="3" t="n">
        <v>19</v>
      </c>
      <c r="I490" s="3" t="n">
        <v>4.75</v>
      </c>
      <c r="J490" s="3" t="n">
        <v>117.01</v>
      </c>
    </row>
    <row r="491">
      <c r="A491" s="8" t="n">
        <v>45141</v>
      </c>
      <c r="B491" s="3" t="n">
        <v>23.29</v>
      </c>
      <c r="C491" s="3" t="n">
        <v>40.43</v>
      </c>
      <c r="D491" s="3" t="n">
        <v>67.51000000000001</v>
      </c>
      <c r="E491" s="3" t="n">
        <v>14.63</v>
      </c>
      <c r="F491" s="3" t="n">
        <v>31.32</v>
      </c>
      <c r="G491" s="3" t="n">
        <v>14.87</v>
      </c>
      <c r="H491" s="3" t="n">
        <v>18.55</v>
      </c>
      <c r="I491" s="3" t="n">
        <v>4.62</v>
      </c>
      <c r="J491" s="3" t="n">
        <v>116.71</v>
      </c>
    </row>
    <row r="492">
      <c r="A492" s="8" t="n">
        <v>45142</v>
      </c>
      <c r="B492" s="3" t="n">
        <v>23.21</v>
      </c>
      <c r="C492" s="3" t="n">
        <v>40.85</v>
      </c>
      <c r="D492" s="3" t="n">
        <v>67.56</v>
      </c>
      <c r="E492" s="3" t="n">
        <v>14.71</v>
      </c>
      <c r="F492" s="3" t="n">
        <v>31.51</v>
      </c>
      <c r="G492" s="3" t="n">
        <v>14.71</v>
      </c>
      <c r="H492" s="3" t="n">
        <v>19.62</v>
      </c>
      <c r="I492" s="3" t="n">
        <v>4.76</v>
      </c>
      <c r="J492" s="3" t="n">
        <v>115.66</v>
      </c>
    </row>
    <row r="493">
      <c r="A493" s="8" t="n">
        <v>45145</v>
      </c>
      <c r="B493" s="3" t="n">
        <v>23.24</v>
      </c>
      <c r="C493" s="3" t="n">
        <v>40.93</v>
      </c>
      <c r="D493" s="3" t="n">
        <v>67.90000000000001</v>
      </c>
      <c r="E493" s="3" t="n">
        <v>14.68</v>
      </c>
      <c r="F493" s="3" t="n">
        <v>32.26</v>
      </c>
      <c r="G493" s="3" t="n">
        <v>14.63</v>
      </c>
      <c r="H493" s="3" t="n">
        <v>19</v>
      </c>
      <c r="I493" s="3" t="n">
        <v>4.77</v>
      </c>
      <c r="J493" s="3" t="n">
        <v>115.61</v>
      </c>
    </row>
    <row r="494">
      <c r="A494" s="8" t="n">
        <v>45146</v>
      </c>
      <c r="B494" s="3" t="n">
        <v>23.32</v>
      </c>
      <c r="C494" s="3" t="n">
        <v>40.66</v>
      </c>
      <c r="D494" s="3" t="n">
        <v>67.45999999999999</v>
      </c>
      <c r="E494" s="3" t="n">
        <v>14.5</v>
      </c>
      <c r="F494" s="3" t="n">
        <v>32.05</v>
      </c>
      <c r="G494" s="3" t="n">
        <v>14.49</v>
      </c>
      <c r="H494" s="3" t="n">
        <v>19.15</v>
      </c>
      <c r="I494" s="3" t="n">
        <v>5.06</v>
      </c>
      <c r="J494" s="3" t="n">
        <v>115.27</v>
      </c>
    </row>
    <row r="495">
      <c r="A495" s="8" t="n">
        <v>45147</v>
      </c>
      <c r="B495" s="3" t="n">
        <v>23.86</v>
      </c>
      <c r="C495" s="3" t="n">
        <v>40.78</v>
      </c>
      <c r="D495" s="3" t="n">
        <v>66.84999999999999</v>
      </c>
      <c r="E495" s="3" t="n">
        <v>14.38</v>
      </c>
      <c r="F495" s="3" t="n">
        <v>32.16</v>
      </c>
      <c r="G495" s="3" t="n">
        <v>14.3</v>
      </c>
      <c r="H495" s="3" t="n">
        <v>18.3</v>
      </c>
      <c r="I495" s="3" t="n">
        <v>4.96</v>
      </c>
      <c r="J495" s="3" t="n">
        <v>114.7</v>
      </c>
    </row>
    <row r="496">
      <c r="A496" s="8" t="n">
        <v>45148</v>
      </c>
      <c r="B496" s="3" t="n">
        <v>23.98</v>
      </c>
      <c r="C496" s="3" t="n">
        <v>40.24</v>
      </c>
      <c r="D496" s="3" t="n">
        <v>66.06</v>
      </c>
      <c r="E496" s="3" t="n">
        <v>14.37</v>
      </c>
      <c r="F496" s="3" t="n">
        <v>32.25</v>
      </c>
      <c r="G496" s="3" t="n">
        <v>14.27</v>
      </c>
      <c r="H496" s="3" t="n">
        <v>18.72</v>
      </c>
      <c r="I496" s="3" t="n">
        <v>5.26</v>
      </c>
      <c r="J496" s="3" t="n">
        <v>114.51</v>
      </c>
    </row>
    <row r="497">
      <c r="A497" s="8" t="n">
        <v>45149</v>
      </c>
      <c r="B497" s="3" t="n">
        <v>22.8</v>
      </c>
      <c r="C497" s="3" t="n">
        <v>39.8</v>
      </c>
      <c r="D497" s="3" t="n">
        <v>65.51000000000001</v>
      </c>
      <c r="E497" s="3" t="n">
        <v>14.36</v>
      </c>
      <c r="F497" s="3" t="n">
        <v>32.47</v>
      </c>
      <c r="G497" s="3" t="n">
        <v>14.2</v>
      </c>
      <c r="H497" s="3" t="n">
        <v>18.51</v>
      </c>
      <c r="I497" s="3" t="n">
        <v>5.23</v>
      </c>
      <c r="J497" s="3" t="n">
        <v>114.25</v>
      </c>
    </row>
    <row r="498">
      <c r="A498" s="8" t="n">
        <v>45152</v>
      </c>
      <c r="B498" s="3" t="n">
        <v>22.84</v>
      </c>
      <c r="C498" s="3" t="n">
        <v>39.31</v>
      </c>
      <c r="D498" s="3" t="n">
        <v>61.9</v>
      </c>
      <c r="E498" s="3" t="n">
        <v>14.33</v>
      </c>
      <c r="F498" s="3" t="n">
        <v>32.77</v>
      </c>
      <c r="G498" s="3" t="n">
        <v>14.11</v>
      </c>
      <c r="H498" s="3" t="n">
        <v>17.57</v>
      </c>
      <c r="I498" s="3" t="n">
        <v>5.02</v>
      </c>
      <c r="J498" s="3" t="n">
        <v>113.31</v>
      </c>
    </row>
    <row r="499">
      <c r="A499" s="8" t="n">
        <v>45153</v>
      </c>
      <c r="B499" s="3" t="n">
        <v>23.02</v>
      </c>
      <c r="C499" s="3" t="n">
        <v>39.35</v>
      </c>
      <c r="D499" s="3" t="n">
        <v>61.29</v>
      </c>
      <c r="E499" s="3" t="n">
        <v>14.2</v>
      </c>
      <c r="F499" s="3" t="n">
        <v>32.55</v>
      </c>
      <c r="G499" s="3" t="n">
        <v>14.02</v>
      </c>
      <c r="H499" s="3" t="n">
        <v>17.44</v>
      </c>
      <c r="I499" s="3" t="n">
        <v>5.02</v>
      </c>
      <c r="J499" s="3" t="n">
        <v>112.37</v>
      </c>
    </row>
    <row r="500">
      <c r="A500" s="8" t="n">
        <v>45154</v>
      </c>
      <c r="B500" s="3" t="n">
        <v>22.72</v>
      </c>
      <c r="C500" s="3" t="n">
        <v>37.61</v>
      </c>
      <c r="D500" s="3" t="n">
        <v>61.05</v>
      </c>
      <c r="E500" s="3" t="n">
        <v>14.18</v>
      </c>
      <c r="F500" s="3" t="n">
        <v>32.54</v>
      </c>
      <c r="G500" s="3" t="n">
        <v>13.81</v>
      </c>
      <c r="H500" s="3" t="n">
        <v>17.49</v>
      </c>
      <c r="I500" s="3" t="n">
        <v>4.73</v>
      </c>
      <c r="J500" s="3" t="n">
        <v>111.87</v>
      </c>
    </row>
    <row r="501">
      <c r="A501" s="8" t="n">
        <v>45155</v>
      </c>
      <c r="B501" s="3" t="n">
        <v>22.22</v>
      </c>
      <c r="C501" s="3" t="n">
        <v>36.91</v>
      </c>
      <c r="D501" s="3" t="n">
        <v>61.91</v>
      </c>
      <c r="E501" s="3" t="n">
        <v>14.22</v>
      </c>
      <c r="F501" s="3" t="n">
        <v>29.66</v>
      </c>
      <c r="G501" s="3" t="n">
        <v>13.43</v>
      </c>
      <c r="H501" s="3" t="n">
        <v>17.11</v>
      </c>
      <c r="I501" s="3" t="n">
        <v>4.57</v>
      </c>
      <c r="J501" s="3" t="n">
        <v>111.36</v>
      </c>
    </row>
    <row r="502">
      <c r="A502" s="8" t="n">
        <v>45156</v>
      </c>
      <c r="B502" s="3" t="n">
        <v>22.27</v>
      </c>
      <c r="C502" s="3" t="n">
        <v>36.26</v>
      </c>
      <c r="D502" s="3" t="n">
        <v>61.22</v>
      </c>
      <c r="E502" s="3" t="n">
        <v>14.36</v>
      </c>
      <c r="F502" s="3" t="n">
        <v>29.88</v>
      </c>
      <c r="G502" s="3" t="n">
        <v>13.66</v>
      </c>
      <c r="H502" s="3" t="n">
        <v>17.36</v>
      </c>
      <c r="I502" s="3" t="n">
        <v>4.63</v>
      </c>
      <c r="J502" s="3" t="n">
        <v>111.7</v>
      </c>
    </row>
    <row r="503">
      <c r="A503" s="8" t="n">
        <v>45159</v>
      </c>
      <c r="B503" s="3" t="n">
        <v>22.11</v>
      </c>
      <c r="C503" s="3" t="n">
        <v>36.04</v>
      </c>
      <c r="D503" s="3" t="n">
        <v>61.2</v>
      </c>
      <c r="E503" s="3" t="n">
        <v>14.31</v>
      </c>
      <c r="F503" s="3" t="n">
        <v>29.89</v>
      </c>
      <c r="G503" s="3" t="n">
        <v>13.48</v>
      </c>
      <c r="H503" s="3" t="n">
        <v>17.11</v>
      </c>
      <c r="I503" s="3" t="n">
        <v>4.49</v>
      </c>
      <c r="J503" s="3" t="n">
        <v>110.79</v>
      </c>
    </row>
    <row r="504">
      <c r="A504" s="8" t="n">
        <v>45160</v>
      </c>
      <c r="B504" s="3" t="n">
        <v>22.83</v>
      </c>
      <c r="C504" s="3" t="n">
        <v>36.47</v>
      </c>
      <c r="D504" s="3" t="n">
        <v>62.58</v>
      </c>
      <c r="E504" s="3" t="n">
        <v>14.42</v>
      </c>
      <c r="F504" s="3" t="n">
        <v>29.96</v>
      </c>
      <c r="G504" s="3" t="n">
        <v>13.86</v>
      </c>
      <c r="H504" s="3" t="n">
        <v>17.18</v>
      </c>
      <c r="I504" s="3" t="n">
        <v>4.56</v>
      </c>
      <c r="J504" s="3" t="n">
        <v>112.41</v>
      </c>
    </row>
    <row r="505">
      <c r="A505" s="8" t="n">
        <v>45161</v>
      </c>
      <c r="B505" s="3" t="n">
        <v>23.3</v>
      </c>
      <c r="C505" s="3" t="n">
        <v>36.45</v>
      </c>
      <c r="D505" s="3" t="n">
        <v>63.04</v>
      </c>
      <c r="E505" s="3" t="n">
        <v>14.45</v>
      </c>
      <c r="F505" s="3" t="n">
        <v>30.15</v>
      </c>
      <c r="G505" s="3" t="n">
        <v>14.2</v>
      </c>
      <c r="H505" s="3" t="n">
        <v>17.41</v>
      </c>
      <c r="I505" s="3" t="n">
        <v>4.69</v>
      </c>
      <c r="J505" s="3" t="n">
        <v>114.3</v>
      </c>
    </row>
    <row r="506">
      <c r="A506" s="8" t="n">
        <v>45162</v>
      </c>
      <c r="B506" s="3" t="n">
        <v>23.13</v>
      </c>
      <c r="C506" s="3" t="n">
        <v>35.98</v>
      </c>
      <c r="D506" s="3" t="n">
        <v>62.2</v>
      </c>
      <c r="E506" s="3" t="n">
        <v>14.19</v>
      </c>
      <c r="F506" s="3" t="n">
        <v>30.34</v>
      </c>
      <c r="G506" s="3" t="n">
        <v>13.69</v>
      </c>
      <c r="H506" s="3" t="n">
        <v>16.89</v>
      </c>
      <c r="I506" s="3" t="n">
        <v>4.69</v>
      </c>
      <c r="J506" s="3" t="n">
        <v>113.3</v>
      </c>
    </row>
    <row r="507">
      <c r="A507" s="8" t="n">
        <v>45163</v>
      </c>
      <c r="B507" s="3" t="n">
        <v>22.65</v>
      </c>
      <c r="C507" s="3" t="n">
        <v>36.36</v>
      </c>
      <c r="D507" s="3" t="n">
        <v>62.07</v>
      </c>
      <c r="E507" s="3" t="n">
        <v>13.99</v>
      </c>
      <c r="F507" s="3" t="n">
        <v>30.34</v>
      </c>
      <c r="G507" s="3" t="n">
        <v>13.49</v>
      </c>
      <c r="H507" s="3" t="n">
        <v>16.61</v>
      </c>
      <c r="I507" s="3" t="n">
        <v>4.59</v>
      </c>
      <c r="J507" s="3" t="n">
        <v>112.15</v>
      </c>
    </row>
    <row r="508">
      <c r="A508" s="8" t="n">
        <v>45166</v>
      </c>
      <c r="B508" s="3" t="n">
        <v>22.75</v>
      </c>
      <c r="C508" s="3" t="n">
        <v>36.62</v>
      </c>
      <c r="D508" s="3" t="n">
        <v>62.96</v>
      </c>
      <c r="E508" s="3" t="n">
        <v>14.21</v>
      </c>
      <c r="F508" s="3" t="n">
        <v>30.76</v>
      </c>
      <c r="G508" s="3" t="n">
        <v>13.53</v>
      </c>
      <c r="H508" s="3" t="n">
        <v>16.7</v>
      </c>
      <c r="I508" s="3" t="n">
        <v>4.54</v>
      </c>
      <c r="J508" s="3" t="n">
        <v>113.5</v>
      </c>
    </row>
    <row r="509">
      <c r="A509" s="8" t="n">
        <v>45167</v>
      </c>
      <c r="B509" s="3" t="n">
        <v>22.87</v>
      </c>
      <c r="C509" s="3" t="n">
        <v>36.49</v>
      </c>
      <c r="D509" s="3" t="n">
        <v>64.97</v>
      </c>
      <c r="E509" s="3" t="n">
        <v>14.26</v>
      </c>
      <c r="F509" s="3" t="n">
        <v>31.05</v>
      </c>
      <c r="G509" s="3" t="n">
        <v>13.57</v>
      </c>
      <c r="H509" s="3" t="n">
        <v>16.7</v>
      </c>
      <c r="I509" s="3" t="n">
        <v>4.6</v>
      </c>
      <c r="J509" s="3" t="n">
        <v>114.62</v>
      </c>
    </row>
    <row r="510">
      <c r="A510" s="8" t="n">
        <v>45168</v>
      </c>
      <c r="B510" s="3" t="n">
        <v>22.63</v>
      </c>
      <c r="C510" s="3" t="n">
        <v>36.3</v>
      </c>
      <c r="D510" s="3" t="n">
        <v>64.98</v>
      </c>
      <c r="E510" s="3" t="n">
        <v>14.18</v>
      </c>
      <c r="F510" s="3" t="n">
        <v>30.79</v>
      </c>
      <c r="G510" s="3" t="n">
        <v>13.22</v>
      </c>
      <c r="H510" s="3" t="n">
        <v>16.44</v>
      </c>
      <c r="I510" s="3" t="n">
        <v>4.47</v>
      </c>
      <c r="J510" s="3" t="n">
        <v>113.9</v>
      </c>
    </row>
    <row r="511">
      <c r="A511" s="8" t="n">
        <v>45169</v>
      </c>
      <c r="B511" s="3" t="n">
        <v>22.35</v>
      </c>
      <c r="C511" s="3" t="n">
        <v>35.88</v>
      </c>
      <c r="D511" s="3" t="n">
        <v>65.08</v>
      </c>
      <c r="E511" s="3" t="n">
        <v>13.84</v>
      </c>
      <c r="F511" s="3" t="n">
        <v>30.38</v>
      </c>
      <c r="G511" s="3" t="n">
        <v>12.93</v>
      </c>
      <c r="H511" s="3" t="n">
        <v>16.03</v>
      </c>
      <c r="I511" s="3" t="n">
        <v>4.26</v>
      </c>
      <c r="J511" s="3" t="n">
        <v>112.31</v>
      </c>
    </row>
    <row r="512">
      <c r="A512" s="8" t="n">
        <v>45170</v>
      </c>
      <c r="B512" s="3" t="n">
        <v>22.67</v>
      </c>
      <c r="C512" s="3" t="n">
        <v>35.95</v>
      </c>
      <c r="D512" s="3" t="n">
        <v>68.89</v>
      </c>
      <c r="E512" s="3" t="n">
        <v>13.87</v>
      </c>
      <c r="F512" s="3" t="n">
        <v>31.03</v>
      </c>
      <c r="G512" s="3" t="n">
        <v>12.98</v>
      </c>
      <c r="H512" s="3" t="n">
        <v>16.77</v>
      </c>
      <c r="I512" s="3" t="n">
        <v>4.43</v>
      </c>
      <c r="J512" s="3" t="n">
        <v>114.05</v>
      </c>
    </row>
    <row r="513">
      <c r="A513" s="8" t="n">
        <v>45173</v>
      </c>
      <c r="B513" s="3" t="n">
        <v>22.6</v>
      </c>
      <c r="C513" s="3" t="n">
        <v>36.13</v>
      </c>
      <c r="D513" s="3" t="n">
        <v>69.40000000000001</v>
      </c>
      <c r="E513" s="3" t="n">
        <v>13.86</v>
      </c>
      <c r="F513" s="3" t="n">
        <v>31.38</v>
      </c>
      <c r="G513" s="3" t="n">
        <v>13.06</v>
      </c>
      <c r="H513" s="3" t="n">
        <v>16.44</v>
      </c>
      <c r="I513" s="3" t="n">
        <v>4.45</v>
      </c>
      <c r="J513" s="3" t="n">
        <v>114.14</v>
      </c>
    </row>
    <row r="514">
      <c r="A514" s="8" t="n">
        <v>45174</v>
      </c>
      <c r="B514" s="3" t="n">
        <v>22.08</v>
      </c>
      <c r="C514" s="3" t="n">
        <v>35.91</v>
      </c>
      <c r="D514" s="3" t="n">
        <v>69.09999999999999</v>
      </c>
      <c r="E514" s="3" t="n">
        <v>14.01</v>
      </c>
      <c r="F514" s="3" t="n">
        <v>31.32</v>
      </c>
      <c r="G514" s="3" t="n">
        <v>12.77</v>
      </c>
      <c r="H514" s="3" t="n">
        <v>16.07</v>
      </c>
      <c r="I514" s="3" t="n">
        <v>4.41</v>
      </c>
      <c r="J514" s="3" t="n">
        <v>113.62</v>
      </c>
    </row>
    <row r="515">
      <c r="A515" s="8" t="n">
        <v>45175</v>
      </c>
      <c r="B515" s="3" t="n">
        <v>21.87</v>
      </c>
      <c r="C515" s="3" t="n">
        <v>35.55</v>
      </c>
      <c r="D515" s="3" t="n">
        <v>68</v>
      </c>
      <c r="E515" s="3" t="n">
        <v>13.98</v>
      </c>
      <c r="F515" s="3" t="n">
        <v>31.09</v>
      </c>
      <c r="G515" s="3" t="n">
        <v>12.54</v>
      </c>
      <c r="H515" s="3" t="n">
        <v>15.57</v>
      </c>
      <c r="I515" s="3" t="n">
        <v>4.4</v>
      </c>
      <c r="J515" s="3" t="n">
        <v>112.25</v>
      </c>
    </row>
    <row r="516">
      <c r="A516" s="8" t="n">
        <v>45177</v>
      </c>
      <c r="B516" s="3" t="n">
        <v>22.08</v>
      </c>
      <c r="C516" s="3" t="n">
        <v>35.4</v>
      </c>
      <c r="D516" s="3" t="n">
        <v>66.70999999999999</v>
      </c>
      <c r="E516" s="3" t="n">
        <v>13.7</v>
      </c>
      <c r="F516" s="3" t="n">
        <v>31.11</v>
      </c>
      <c r="G516" s="3" t="n">
        <v>12.54</v>
      </c>
      <c r="H516" s="3" t="n">
        <v>15.52</v>
      </c>
      <c r="I516" s="3" t="n">
        <v>4.37</v>
      </c>
      <c r="J516" s="3" t="n">
        <v>111.66</v>
      </c>
    </row>
    <row r="517">
      <c r="A517" s="8" t="n">
        <v>45180</v>
      </c>
      <c r="B517" s="3" t="n">
        <v>22.14</v>
      </c>
      <c r="C517" s="3" t="n">
        <v>35.28</v>
      </c>
      <c r="D517" s="3" t="n">
        <v>67.67</v>
      </c>
      <c r="E517" s="3" t="n">
        <v>13.87</v>
      </c>
      <c r="F517" s="3" t="n">
        <v>31.79</v>
      </c>
      <c r="G517" s="3" t="n">
        <v>12.91</v>
      </c>
      <c r="H517" s="3" t="n">
        <v>15.75</v>
      </c>
      <c r="I517" s="3" t="n">
        <v>4.44</v>
      </c>
      <c r="J517" s="3" t="n">
        <v>113.48</v>
      </c>
    </row>
    <row r="518">
      <c r="A518" s="8" t="n">
        <v>45181</v>
      </c>
      <c r="B518" s="3" t="n">
        <v>22.76</v>
      </c>
      <c r="C518" s="3" t="n">
        <v>35.65</v>
      </c>
      <c r="D518" s="3" t="n">
        <v>67.62</v>
      </c>
      <c r="E518" s="3" t="n">
        <v>13.71</v>
      </c>
      <c r="F518" s="3" t="n">
        <v>31.95</v>
      </c>
      <c r="G518" s="3" t="n">
        <v>13.16</v>
      </c>
      <c r="H518" s="3" t="n">
        <v>16.01</v>
      </c>
      <c r="I518" s="3" t="n">
        <v>4.64</v>
      </c>
      <c r="J518" s="3" t="n">
        <v>114.22</v>
      </c>
    </row>
    <row r="519">
      <c r="A519" s="8" t="n">
        <v>45182</v>
      </c>
      <c r="B519" s="3" t="n">
        <v>23.32</v>
      </c>
      <c r="C519" s="3" t="n">
        <v>36.93</v>
      </c>
      <c r="D519" s="3" t="n">
        <v>67.36</v>
      </c>
      <c r="E519" s="3" t="n">
        <v>13.64</v>
      </c>
      <c r="F519" s="3" t="n">
        <v>31.92</v>
      </c>
      <c r="G519" s="3" t="n">
        <v>13.21</v>
      </c>
      <c r="H519" s="3" t="n">
        <v>16.25</v>
      </c>
      <c r="I519" s="3" t="n">
        <v>4.58</v>
      </c>
      <c r="J519" s="3" t="n">
        <v>114.46</v>
      </c>
    </row>
    <row r="520">
      <c r="A520" s="8" t="n">
        <v>45183</v>
      </c>
      <c r="B520" s="3" t="n">
        <v>23.94</v>
      </c>
      <c r="C520" s="3" t="n">
        <v>36.08</v>
      </c>
      <c r="D520" s="3" t="n">
        <v>70.12</v>
      </c>
      <c r="E520" s="3" t="n">
        <v>13.53</v>
      </c>
      <c r="F520" s="3" t="n">
        <v>31.7</v>
      </c>
      <c r="G520" s="3" t="n">
        <v>13.3</v>
      </c>
      <c r="H520" s="3" t="n">
        <v>16.06</v>
      </c>
      <c r="I520" s="3" t="n">
        <v>4.5</v>
      </c>
      <c r="J520" s="3" t="n">
        <v>115.59</v>
      </c>
    </row>
    <row r="521">
      <c r="A521" s="8" t="n">
        <v>45184</v>
      </c>
      <c r="B521" s="3" t="n">
        <v>23.84</v>
      </c>
      <c r="C521" s="3" t="n">
        <v>36.1</v>
      </c>
      <c r="D521" s="3" t="n">
        <v>69.54000000000001</v>
      </c>
      <c r="E521" s="3" t="n">
        <v>13.42</v>
      </c>
      <c r="F521" s="3" t="n">
        <v>31.64</v>
      </c>
      <c r="G521" s="3" t="n">
        <v>13.2</v>
      </c>
      <c r="H521" s="3" t="n">
        <v>15.58</v>
      </c>
      <c r="I521" s="3" t="n">
        <v>4.41</v>
      </c>
      <c r="J521" s="3" t="n">
        <v>114.92</v>
      </c>
    </row>
    <row r="522">
      <c r="A522" s="8" t="n">
        <v>45187</v>
      </c>
      <c r="B522" s="3" t="n">
        <v>23.74</v>
      </c>
      <c r="C522" s="3" t="n">
        <v>35.79</v>
      </c>
      <c r="D522" s="3" t="n">
        <v>68.72</v>
      </c>
      <c r="E522" s="3" t="n">
        <v>13.39</v>
      </c>
      <c r="F522" s="3" t="n">
        <v>31.84</v>
      </c>
      <c r="G522" s="3" t="n">
        <v>13.08</v>
      </c>
      <c r="H522" s="3" t="n">
        <v>15.43</v>
      </c>
      <c r="I522" s="3" t="n">
        <v>4.42</v>
      </c>
      <c r="J522" s="3" t="n">
        <v>114.65</v>
      </c>
    </row>
    <row r="523">
      <c r="A523" s="8" t="n">
        <v>45188</v>
      </c>
      <c r="B523" s="3" t="n">
        <v>23.75</v>
      </c>
      <c r="C523" s="3" t="n">
        <v>35.98</v>
      </c>
      <c r="D523" s="3" t="n">
        <v>68.84999999999999</v>
      </c>
      <c r="E523" s="3" t="n">
        <v>13.43</v>
      </c>
      <c r="F523" s="3" t="n">
        <v>31.68</v>
      </c>
      <c r="G523" s="3" t="n">
        <v>12.92</v>
      </c>
      <c r="H523" s="3" t="n">
        <v>14.6</v>
      </c>
      <c r="I523" s="3" t="n">
        <v>4.5</v>
      </c>
      <c r="J523" s="3" t="n">
        <v>114.1</v>
      </c>
    </row>
    <row r="524">
      <c r="A524" s="8" t="n">
        <v>45189</v>
      </c>
      <c r="B524" s="3" t="n">
        <v>23.88</v>
      </c>
      <c r="C524" s="3" t="n">
        <v>35.79</v>
      </c>
      <c r="D524" s="3" t="n">
        <v>69.31</v>
      </c>
      <c r="E524" s="3" t="n">
        <v>13.47</v>
      </c>
      <c r="F524" s="3" t="n">
        <v>32.2</v>
      </c>
      <c r="G524" s="3" t="n">
        <v>13.13</v>
      </c>
      <c r="H524" s="3" t="n">
        <v>14.66</v>
      </c>
      <c r="I524" s="3" t="n">
        <v>4.43</v>
      </c>
      <c r="J524" s="3" t="n">
        <v>115.03</v>
      </c>
    </row>
    <row r="525">
      <c r="A525" s="8" t="n">
        <v>45190</v>
      </c>
      <c r="B525" s="3" t="n">
        <v>23.48</v>
      </c>
      <c r="C525" s="3" t="n">
        <v>34.98</v>
      </c>
      <c r="D525" s="3" t="n">
        <v>67.5</v>
      </c>
      <c r="E525" s="3" t="n">
        <v>13.24</v>
      </c>
      <c r="F525" s="3" t="n">
        <v>31.76</v>
      </c>
      <c r="G525" s="3" t="n">
        <v>12.59</v>
      </c>
      <c r="H525" s="3" t="n">
        <v>13.95</v>
      </c>
      <c r="I525" s="3" t="n">
        <v>4.26</v>
      </c>
      <c r="J525" s="3" t="n">
        <v>112.6</v>
      </c>
    </row>
    <row r="526">
      <c r="A526" s="8" t="n">
        <v>45191</v>
      </c>
      <c r="B526" s="3" t="n">
        <v>23.43</v>
      </c>
      <c r="C526" s="3" t="n">
        <v>34.59</v>
      </c>
      <c r="D526" s="3" t="n">
        <v>68</v>
      </c>
      <c r="E526" s="3" t="n">
        <v>13.12</v>
      </c>
      <c r="F526" s="3" t="n">
        <v>31.74</v>
      </c>
      <c r="G526" s="3" t="n">
        <v>12.33</v>
      </c>
      <c r="H526" s="3" t="n">
        <v>13.89</v>
      </c>
      <c r="I526" s="3" t="n">
        <v>4.28</v>
      </c>
      <c r="J526" s="3" t="n">
        <v>112.61</v>
      </c>
    </row>
    <row r="527">
      <c r="A527" s="8" t="n">
        <v>45194</v>
      </c>
      <c r="B527" s="3" t="n">
        <v>23.39</v>
      </c>
      <c r="C527" s="3" t="n">
        <v>36.13</v>
      </c>
      <c r="D527" s="3" t="n">
        <v>66.59999999999999</v>
      </c>
      <c r="E527" s="3" t="n">
        <v>13.22</v>
      </c>
      <c r="F527" s="3" t="n">
        <v>32.03</v>
      </c>
      <c r="G527" s="3" t="n">
        <v>12.34</v>
      </c>
      <c r="H527" s="3" t="n">
        <v>13.8</v>
      </c>
      <c r="I527" s="3" t="n">
        <v>4.38</v>
      </c>
      <c r="J527" s="3" t="n">
        <v>112.57</v>
      </c>
    </row>
    <row r="528">
      <c r="A528" s="8" t="n">
        <v>45195</v>
      </c>
      <c r="B528" s="3" t="n">
        <v>22.85</v>
      </c>
      <c r="C528" s="3" t="n">
        <v>36.08</v>
      </c>
      <c r="D528" s="3" t="n">
        <v>65.56</v>
      </c>
      <c r="E528" s="3" t="n">
        <v>13.04</v>
      </c>
      <c r="F528" s="3" t="n">
        <v>31.83</v>
      </c>
      <c r="G528" s="3" t="n">
        <v>12.07</v>
      </c>
      <c r="H528" s="3" t="n">
        <v>13.16</v>
      </c>
      <c r="I528" s="3" t="n">
        <v>4.26</v>
      </c>
      <c r="J528" s="3" t="n">
        <v>110.65</v>
      </c>
    </row>
    <row r="529">
      <c r="A529" s="8" t="n">
        <v>45196</v>
      </c>
      <c r="B529" s="3" t="n">
        <v>22.3</v>
      </c>
      <c r="C529" s="3" t="n">
        <v>36.02</v>
      </c>
      <c r="D529" s="3" t="n">
        <v>65.7</v>
      </c>
      <c r="E529" s="3" t="n">
        <v>12.97</v>
      </c>
      <c r="F529" s="3" t="n">
        <v>31.47</v>
      </c>
      <c r="G529" s="3" t="n">
        <v>12.03</v>
      </c>
      <c r="H529" s="3" t="n">
        <v>12.9</v>
      </c>
      <c r="I529" s="3" t="n">
        <v>4.31</v>
      </c>
      <c r="J529" s="3" t="n">
        <v>110.7</v>
      </c>
    </row>
    <row r="530">
      <c r="A530" s="8" t="n">
        <v>45197</v>
      </c>
      <c r="B530" s="3" t="n">
        <v>22.78</v>
      </c>
      <c r="C530" s="3" t="n">
        <v>36.39</v>
      </c>
      <c r="D530" s="3" t="n">
        <v>66.7</v>
      </c>
      <c r="E530" s="3" t="n">
        <v>12.98</v>
      </c>
      <c r="F530" s="3" t="n">
        <v>31.7</v>
      </c>
      <c r="G530" s="3" t="n">
        <v>12.21</v>
      </c>
      <c r="H530" s="3" t="n">
        <v>13.42</v>
      </c>
      <c r="I530" s="3" t="n">
        <v>4.47</v>
      </c>
      <c r="J530" s="3" t="n">
        <v>112.18</v>
      </c>
    </row>
    <row r="531">
      <c r="A531" s="8" t="n">
        <v>45198</v>
      </c>
      <c r="B531" s="3" t="n">
        <v>22.82</v>
      </c>
      <c r="C531" s="3" t="n">
        <v>36.27</v>
      </c>
      <c r="D531" s="3" t="n">
        <v>67.58</v>
      </c>
      <c r="E531" s="3" t="n">
        <v>13.11</v>
      </c>
      <c r="F531" s="3" t="n">
        <v>31.21</v>
      </c>
      <c r="G531" s="3" t="n">
        <v>12.29</v>
      </c>
      <c r="H531" s="3" t="n">
        <v>13.4</v>
      </c>
      <c r="I531" s="3" t="n">
        <v>4.7</v>
      </c>
      <c r="J531" s="3" t="n">
        <v>113.15</v>
      </c>
    </row>
    <row r="532">
      <c r="A532" s="8" t="n">
        <v>45201</v>
      </c>
      <c r="B532" s="3" t="n">
        <v>22.44</v>
      </c>
      <c r="C532" s="3" t="n">
        <v>36.15</v>
      </c>
      <c r="D532" s="3" t="n">
        <v>66.98999999999999</v>
      </c>
      <c r="E532" s="3" t="n">
        <v>13.09</v>
      </c>
      <c r="F532" s="3" t="n">
        <v>31.94</v>
      </c>
      <c r="G532" s="3" t="n">
        <v>12</v>
      </c>
      <c r="H532" s="3" t="n">
        <v>12.85</v>
      </c>
      <c r="I532" s="3" t="n">
        <v>4.57</v>
      </c>
      <c r="J532" s="3" t="n">
        <v>111.49</v>
      </c>
    </row>
    <row r="533">
      <c r="A533" s="8" t="n">
        <v>45202</v>
      </c>
      <c r="B533" s="3" t="n">
        <v>21.67</v>
      </c>
      <c r="C533" s="3" t="n">
        <v>35.17</v>
      </c>
      <c r="D533" s="3" t="n">
        <v>66.58</v>
      </c>
      <c r="E533" s="3" t="n">
        <v>13.05</v>
      </c>
      <c r="F533" s="3" t="n">
        <v>32.02</v>
      </c>
      <c r="G533" s="3" t="n">
        <v>11.49</v>
      </c>
      <c r="H533" s="3" t="n">
        <v>12.53</v>
      </c>
      <c r="I533" s="3" t="n">
        <v>4.32</v>
      </c>
      <c r="J533" s="3" t="n">
        <v>109.82</v>
      </c>
    </row>
    <row r="534">
      <c r="A534" s="8" t="n">
        <v>45203</v>
      </c>
      <c r="B534" s="3" t="n">
        <v>21.72</v>
      </c>
      <c r="C534" s="3" t="n">
        <v>35.16</v>
      </c>
      <c r="D534" s="3" t="n">
        <v>65.87</v>
      </c>
      <c r="E534" s="3" t="n">
        <v>13.21</v>
      </c>
      <c r="F534" s="3" t="n">
        <v>32.2</v>
      </c>
      <c r="G534" s="3" t="n">
        <v>11.86</v>
      </c>
      <c r="H534" s="3" t="n">
        <v>12.93</v>
      </c>
      <c r="I534" s="3" t="n">
        <v>4.37</v>
      </c>
      <c r="J534" s="3" t="n">
        <v>110.18</v>
      </c>
    </row>
    <row r="535">
      <c r="A535" s="8" t="n">
        <v>45204</v>
      </c>
      <c r="B535" s="3" t="n">
        <v>21.58</v>
      </c>
      <c r="C535" s="3" t="n">
        <v>34.98</v>
      </c>
      <c r="D535" s="3" t="n">
        <v>65.90000000000001</v>
      </c>
      <c r="E535" s="3" t="n">
        <v>12.89</v>
      </c>
      <c r="F535" s="3" t="n">
        <v>31.94</v>
      </c>
      <c r="G535" s="3" t="n">
        <v>11.73</v>
      </c>
      <c r="H535" s="3" t="n">
        <v>12.73</v>
      </c>
      <c r="I535" s="3" t="n">
        <v>4.16</v>
      </c>
      <c r="J535" s="3" t="n">
        <v>109.75</v>
      </c>
    </row>
    <row r="536">
      <c r="A536" s="8" t="n">
        <v>45205</v>
      </c>
      <c r="B536" s="3" t="n">
        <v>21.79</v>
      </c>
      <c r="C536" s="3" t="n">
        <v>34.8</v>
      </c>
      <c r="D536" s="3" t="n">
        <v>66.86</v>
      </c>
      <c r="E536" s="3" t="n">
        <v>13.19</v>
      </c>
      <c r="F536" s="3" t="n">
        <v>32.07</v>
      </c>
      <c r="G536" s="3" t="n">
        <v>11.84</v>
      </c>
      <c r="H536" s="3" t="n">
        <v>12.59</v>
      </c>
      <c r="I536" s="3" t="n">
        <v>4.04</v>
      </c>
      <c r="J536" s="3" t="n">
        <v>110.66</v>
      </c>
    </row>
    <row r="537">
      <c r="A537" s="8" t="n">
        <v>45208</v>
      </c>
      <c r="B537" s="3" t="n">
        <v>22.07</v>
      </c>
      <c r="C537" s="3" t="n">
        <v>34.85</v>
      </c>
      <c r="D537" s="3" t="n">
        <v>66.38</v>
      </c>
      <c r="E537" s="3" t="n">
        <v>13.17</v>
      </c>
      <c r="F537" s="3" t="n">
        <v>31.88</v>
      </c>
      <c r="G537" s="3" t="n">
        <v>11.78</v>
      </c>
      <c r="H537" s="3" t="n">
        <v>12.68</v>
      </c>
      <c r="I537" s="3" t="n">
        <v>4.08</v>
      </c>
      <c r="J537" s="3" t="n">
        <v>111.74</v>
      </c>
    </row>
    <row r="538">
      <c r="A538" s="8" t="n">
        <v>45209</v>
      </c>
      <c r="B538" s="3" t="n">
        <v>22.93</v>
      </c>
      <c r="C538" s="3" t="n">
        <v>35.3</v>
      </c>
      <c r="D538" s="3" t="n">
        <v>66.78</v>
      </c>
      <c r="E538" s="3" t="n">
        <v>13.25</v>
      </c>
      <c r="F538" s="3" t="n">
        <v>31.63</v>
      </c>
      <c r="G538" s="3" t="n">
        <v>12.05</v>
      </c>
      <c r="H538" s="3" t="n">
        <v>13</v>
      </c>
      <c r="I538" s="3" t="n">
        <v>4.26</v>
      </c>
      <c r="J538" s="3" t="n">
        <v>113.13</v>
      </c>
    </row>
    <row r="539">
      <c r="A539" s="8" t="n">
        <v>45210</v>
      </c>
      <c r="B539" s="3" t="n">
        <v>23.07</v>
      </c>
      <c r="C539" s="3" t="n">
        <v>35.17</v>
      </c>
      <c r="D539" s="3" t="n">
        <v>67.36</v>
      </c>
      <c r="E539" s="3" t="n">
        <v>13.29</v>
      </c>
      <c r="F539" s="3" t="n">
        <v>31.75</v>
      </c>
      <c r="G539" s="3" t="n">
        <v>12.03</v>
      </c>
      <c r="H539" s="3" t="n">
        <v>13.1</v>
      </c>
      <c r="I539" s="3" t="n">
        <v>4.23</v>
      </c>
      <c r="J539" s="3" t="n">
        <v>113.5</v>
      </c>
    </row>
    <row r="540">
      <c r="A540" s="8" t="n">
        <v>45212</v>
      </c>
      <c r="B540" s="3" t="n">
        <v>22.5</v>
      </c>
      <c r="C540" s="3" t="n">
        <v>34.54</v>
      </c>
      <c r="D540" s="3" t="n">
        <v>66.59</v>
      </c>
      <c r="E540" s="3" t="n">
        <v>12.98</v>
      </c>
      <c r="F540" s="3" t="n">
        <v>31.3</v>
      </c>
      <c r="G540" s="3" t="n">
        <v>11.6</v>
      </c>
      <c r="H540" s="3" t="n">
        <v>12.69</v>
      </c>
      <c r="I540" s="3" t="n">
        <v>4.02</v>
      </c>
      <c r="J540" s="3" t="n">
        <v>112.06</v>
      </c>
    </row>
    <row r="541">
      <c r="A541" s="8" t="n">
        <v>45215</v>
      </c>
      <c r="B541" s="3" t="n">
        <v>22.56</v>
      </c>
      <c r="C541" s="3" t="n">
        <v>34.65</v>
      </c>
      <c r="D541" s="3" t="n">
        <v>67.3</v>
      </c>
      <c r="E541" s="3" t="n">
        <v>13.01</v>
      </c>
      <c r="F541" s="3" t="n">
        <v>31.69</v>
      </c>
      <c r="G541" s="3" t="n">
        <v>11.74</v>
      </c>
      <c r="H541" s="3" t="n">
        <v>12.96</v>
      </c>
      <c r="I541" s="3" t="n">
        <v>4</v>
      </c>
      <c r="J541" s="3" t="n">
        <v>112.94</v>
      </c>
    </row>
    <row r="542">
      <c r="A542" s="8" t="n">
        <v>45216</v>
      </c>
      <c r="B542" s="3" t="n">
        <v>21.91</v>
      </c>
      <c r="C542" s="3" t="n">
        <v>34.28</v>
      </c>
      <c r="D542" s="3" t="n">
        <v>67.84999999999999</v>
      </c>
      <c r="E542" s="3" t="n">
        <v>12.8</v>
      </c>
      <c r="F542" s="3" t="n">
        <v>31.61</v>
      </c>
      <c r="G542" s="3" t="n">
        <v>11.27</v>
      </c>
      <c r="H542" s="3" t="n">
        <v>12.81</v>
      </c>
      <c r="I542" s="3" t="n">
        <v>3.93</v>
      </c>
      <c r="J542" s="3" t="n">
        <v>112.34</v>
      </c>
    </row>
    <row r="543">
      <c r="A543" s="8" t="n">
        <v>45217</v>
      </c>
      <c r="B543" s="3" t="n">
        <v>21.3</v>
      </c>
      <c r="C543" s="3" t="n">
        <v>34.29</v>
      </c>
      <c r="D543" s="3" t="n">
        <v>65.36</v>
      </c>
      <c r="E543" s="3" t="n">
        <v>12.53</v>
      </c>
      <c r="F543" s="3" t="n">
        <v>31.89</v>
      </c>
      <c r="G543" s="3" t="n">
        <v>11.13</v>
      </c>
      <c r="H543" s="3" t="n">
        <v>12.24</v>
      </c>
      <c r="I543" s="3" t="n">
        <v>3.8</v>
      </c>
      <c r="J543" s="3" t="n">
        <v>110.37</v>
      </c>
    </row>
    <row r="544">
      <c r="A544" s="8" t="n">
        <v>45218</v>
      </c>
      <c r="B544" s="3" t="n">
        <v>21.67</v>
      </c>
      <c r="C544" s="3" t="n">
        <v>33.94</v>
      </c>
      <c r="D544" s="3" t="n">
        <v>64.42</v>
      </c>
      <c r="E544" s="3" t="n">
        <v>12.52</v>
      </c>
      <c r="F544" s="3" t="n">
        <v>31.86</v>
      </c>
      <c r="G544" s="3" t="n">
        <v>11</v>
      </c>
      <c r="H544" s="3" t="n">
        <v>12.34</v>
      </c>
      <c r="I544" s="3" t="n">
        <v>3.82</v>
      </c>
      <c r="J544" s="3" t="n">
        <v>110.6</v>
      </c>
    </row>
    <row r="545">
      <c r="A545" s="8" t="n">
        <v>45219</v>
      </c>
      <c r="B545" s="3" t="n">
        <v>21.57</v>
      </c>
      <c r="C545" s="3" t="n">
        <v>33.81</v>
      </c>
      <c r="D545" s="3" t="n">
        <v>62.68</v>
      </c>
      <c r="E545" s="3" t="n">
        <v>12.49</v>
      </c>
      <c r="F545" s="3" t="n">
        <v>31.44</v>
      </c>
      <c r="G545" s="3" t="n">
        <v>11.15</v>
      </c>
      <c r="H545" s="3" t="n">
        <v>12.22</v>
      </c>
      <c r="I545" s="3" t="n">
        <v>3.87</v>
      </c>
      <c r="J545" s="3" t="n">
        <v>109.5</v>
      </c>
    </row>
    <row r="546">
      <c r="A546" s="8" t="n">
        <v>45222</v>
      </c>
      <c r="B546" s="3" t="n">
        <v>22.43</v>
      </c>
      <c r="C546" s="3" t="n">
        <v>33.9</v>
      </c>
      <c r="D546" s="3" t="n">
        <v>62.56</v>
      </c>
      <c r="E546" s="3" t="n">
        <v>12.48</v>
      </c>
      <c r="F546" s="3" t="n">
        <v>31.36</v>
      </c>
      <c r="G546" s="3" t="n">
        <v>11.31</v>
      </c>
      <c r="H546" s="3" t="n">
        <v>12.4</v>
      </c>
      <c r="I546" s="3" t="n">
        <v>4</v>
      </c>
      <c r="J546" s="3" t="n">
        <v>109.35</v>
      </c>
    </row>
    <row r="547">
      <c r="A547" s="8" t="n">
        <v>45223</v>
      </c>
      <c r="B547" s="3" t="n">
        <v>22.23</v>
      </c>
      <c r="C547" s="3" t="n">
        <v>35.01</v>
      </c>
      <c r="D547" s="3" t="n">
        <v>63.99</v>
      </c>
      <c r="E547" s="3" t="n">
        <v>12.52</v>
      </c>
      <c r="F547" s="3" t="n">
        <v>31.4</v>
      </c>
      <c r="G547" s="3" t="n">
        <v>11.6</v>
      </c>
      <c r="H547" s="3" t="n">
        <v>12.38</v>
      </c>
      <c r="I547" s="3" t="n">
        <v>4.08</v>
      </c>
      <c r="J547" s="3" t="n">
        <v>110.24</v>
      </c>
    </row>
    <row r="548">
      <c r="A548" s="8" t="n">
        <v>45224</v>
      </c>
      <c r="B548" s="3" t="n">
        <v>22.05</v>
      </c>
      <c r="C548" s="3" t="n">
        <v>31.47</v>
      </c>
      <c r="D548" s="3" t="n">
        <v>63.93</v>
      </c>
      <c r="E548" s="3" t="n">
        <v>12.44</v>
      </c>
      <c r="F548" s="3" t="n">
        <v>31.27</v>
      </c>
      <c r="G548" s="3" t="n">
        <v>11.54</v>
      </c>
      <c r="H548" s="3" t="n">
        <v>12.35</v>
      </c>
      <c r="I548" s="3" t="n">
        <v>3.87</v>
      </c>
      <c r="J548" s="3" t="n">
        <v>109.35</v>
      </c>
    </row>
    <row r="549">
      <c r="A549" s="8" t="n">
        <v>45225</v>
      </c>
      <c r="B549" s="3" t="n">
        <v>22.77</v>
      </c>
      <c r="C549" s="3" t="n">
        <v>32.66</v>
      </c>
      <c r="D549" s="3" t="n">
        <v>65.3</v>
      </c>
      <c r="E549" s="3" t="n">
        <v>12.63</v>
      </c>
      <c r="F549" s="3" t="n">
        <v>31.33</v>
      </c>
      <c r="G549" s="3" t="n">
        <v>11.73</v>
      </c>
      <c r="H549" s="3" t="n">
        <v>12.68</v>
      </c>
      <c r="I549" s="3" t="n">
        <v>3.91</v>
      </c>
      <c r="J549" s="3" t="n">
        <v>111.4</v>
      </c>
    </row>
    <row r="550">
      <c r="A550" s="8" t="n">
        <v>45226</v>
      </c>
      <c r="B550" s="3" t="n">
        <v>22.1</v>
      </c>
      <c r="C550" s="3" t="n">
        <v>31.63</v>
      </c>
      <c r="D550" s="3" t="n">
        <v>67.56999999999999</v>
      </c>
      <c r="E550" s="3" t="n">
        <v>12.29</v>
      </c>
      <c r="F550" s="3" t="n">
        <v>30.95</v>
      </c>
      <c r="G550" s="3" t="n">
        <v>11.2</v>
      </c>
      <c r="H550" s="3" t="n">
        <v>12.21</v>
      </c>
      <c r="I550" s="3" t="n">
        <v>3.74</v>
      </c>
      <c r="J550" s="3" t="n">
        <v>109.85</v>
      </c>
    </row>
    <row r="551">
      <c r="A551" s="8" t="n">
        <v>45229</v>
      </c>
      <c r="B551" s="3" t="n">
        <v>22.02</v>
      </c>
      <c r="C551" s="3" t="n">
        <v>32.3</v>
      </c>
      <c r="D551" s="3" t="n">
        <v>68.18000000000001</v>
      </c>
      <c r="E551" s="3" t="n">
        <v>12.36</v>
      </c>
      <c r="F551" s="3" t="n">
        <v>30.55</v>
      </c>
      <c r="G551" s="3" t="n">
        <v>11.08</v>
      </c>
      <c r="H551" s="3" t="n">
        <v>11.94</v>
      </c>
      <c r="I551" s="3" t="n">
        <v>3.64</v>
      </c>
      <c r="J551" s="3" t="n">
        <v>108.96</v>
      </c>
    </row>
    <row r="552">
      <c r="A552" s="8" t="n">
        <v>45230</v>
      </c>
      <c r="B552" s="3" t="n">
        <v>22.31</v>
      </c>
      <c r="C552" s="3" t="n">
        <v>33.01</v>
      </c>
      <c r="D552" s="3" t="n">
        <v>69</v>
      </c>
      <c r="E552" s="3" t="n">
        <v>12.86</v>
      </c>
      <c r="F552" s="3" t="n">
        <v>30.76</v>
      </c>
      <c r="G552" s="3" t="n">
        <v>11.1</v>
      </c>
      <c r="H552" s="3" t="n">
        <v>12.26</v>
      </c>
      <c r="I552" s="3" t="n">
        <v>3.69</v>
      </c>
      <c r="J552" s="3" t="n">
        <v>109.62</v>
      </c>
    </row>
    <row r="553">
      <c r="A553" s="8" t="n">
        <v>45231</v>
      </c>
      <c r="B553" s="3" t="n">
        <v>23</v>
      </c>
      <c r="C553" s="3" t="n">
        <v>33.08</v>
      </c>
      <c r="D553" s="3" t="n">
        <v>70.31999999999999</v>
      </c>
      <c r="E553" s="3" t="n">
        <v>12.99</v>
      </c>
      <c r="F553" s="3" t="n">
        <v>31.21</v>
      </c>
      <c r="G553" s="3" t="n">
        <v>11.55</v>
      </c>
      <c r="H553" s="3" t="n">
        <v>12.27</v>
      </c>
      <c r="I553" s="3" t="n">
        <v>3.74</v>
      </c>
      <c r="J553" s="3" t="n">
        <v>111.56</v>
      </c>
    </row>
    <row r="554">
      <c r="A554" s="8" t="n">
        <v>45233</v>
      </c>
      <c r="B554" s="3" t="n">
        <v>23.13</v>
      </c>
      <c r="C554" s="3" t="n">
        <v>33.53</v>
      </c>
      <c r="D554" s="3" t="n">
        <v>71.2</v>
      </c>
      <c r="E554" s="3" t="n">
        <v>13.29</v>
      </c>
      <c r="F554" s="3" t="n">
        <v>31.45</v>
      </c>
      <c r="G554" s="3" t="n">
        <v>12.21</v>
      </c>
      <c r="H554" s="3" t="n">
        <v>13.24</v>
      </c>
      <c r="I554" s="3" t="n">
        <v>4.04</v>
      </c>
      <c r="J554" s="3" t="n">
        <v>114.75</v>
      </c>
    </row>
    <row r="555">
      <c r="A555" s="8" t="n">
        <v>45236</v>
      </c>
      <c r="B555" s="3" t="n">
        <v>23.13</v>
      </c>
      <c r="C555" s="3" t="n">
        <v>33.21</v>
      </c>
      <c r="D555" s="3" t="n">
        <v>71.5</v>
      </c>
      <c r="E555" s="3" t="n">
        <v>13.51</v>
      </c>
      <c r="F555" s="3" t="n">
        <v>31.77</v>
      </c>
      <c r="G555" s="3" t="n">
        <v>12.24</v>
      </c>
      <c r="H555" s="3" t="n">
        <v>12.61</v>
      </c>
      <c r="I555" s="3" t="n">
        <v>3.98</v>
      </c>
      <c r="J555" s="3" t="n">
        <v>114.81</v>
      </c>
    </row>
    <row r="556">
      <c r="A556" s="8" t="n">
        <v>45237</v>
      </c>
      <c r="B556" s="3" t="n">
        <v>22.9</v>
      </c>
      <c r="C556" s="3" t="n">
        <v>32.7</v>
      </c>
      <c r="D556" s="3" t="n">
        <v>70.08</v>
      </c>
      <c r="E556" s="3" t="n">
        <v>13.57</v>
      </c>
      <c r="F556" s="3" t="n">
        <v>31.9</v>
      </c>
      <c r="G556" s="3" t="n">
        <v>12.46</v>
      </c>
      <c r="H556" s="3" t="n">
        <v>13.18</v>
      </c>
      <c r="I556" s="3" t="n">
        <v>4.32</v>
      </c>
      <c r="J556" s="3" t="n">
        <v>115.67</v>
      </c>
    </row>
    <row r="557">
      <c r="A557" s="8" t="n">
        <v>45238</v>
      </c>
      <c r="B557" s="3" t="n">
        <v>22.65</v>
      </c>
      <c r="C557" s="3" t="n">
        <v>32.45</v>
      </c>
      <c r="D557" s="3" t="n">
        <v>70.13</v>
      </c>
      <c r="E557" s="3" t="n">
        <v>13.54</v>
      </c>
      <c r="F557" s="3" t="n">
        <v>31.9</v>
      </c>
      <c r="G557" s="3" t="n">
        <v>12.47</v>
      </c>
      <c r="H557" s="3" t="n">
        <v>13.45</v>
      </c>
      <c r="I557" s="3" t="n">
        <v>4.31</v>
      </c>
      <c r="J557" s="3" t="n">
        <v>115.52</v>
      </c>
    </row>
    <row r="558">
      <c r="A558" s="8" t="n">
        <v>45239</v>
      </c>
      <c r="B558" s="3" t="n">
        <v>22.85</v>
      </c>
      <c r="C558" s="3" t="n">
        <v>32.41</v>
      </c>
      <c r="D558" s="3" t="n">
        <v>70.47</v>
      </c>
      <c r="E558" s="3" t="n">
        <v>13.41</v>
      </c>
      <c r="F558" s="3" t="n">
        <v>31.3</v>
      </c>
      <c r="G558" s="3" t="n">
        <v>12.36</v>
      </c>
      <c r="H558" s="3" t="n">
        <v>13.55</v>
      </c>
      <c r="I558" s="3" t="n">
        <v>4.46</v>
      </c>
      <c r="J558" s="3" t="n">
        <v>115.18</v>
      </c>
    </row>
    <row r="559">
      <c r="A559" s="8" t="n">
        <v>45240</v>
      </c>
      <c r="B559" s="3" t="n">
        <v>23.09</v>
      </c>
      <c r="C559" s="3" t="n">
        <v>33.17</v>
      </c>
      <c r="D559" s="3" t="n">
        <v>71.55</v>
      </c>
      <c r="E559" s="3" t="n">
        <v>13.35</v>
      </c>
      <c r="F559" s="3" t="n">
        <v>31.3</v>
      </c>
      <c r="G559" s="3" t="n">
        <v>12.96</v>
      </c>
      <c r="H559" s="3" t="n">
        <v>12.96</v>
      </c>
      <c r="I559" s="3" t="n">
        <v>4.4</v>
      </c>
      <c r="J559" s="3" t="n">
        <v>117.01</v>
      </c>
    </row>
    <row r="560">
      <c r="A560" s="8" t="n">
        <v>45243</v>
      </c>
      <c r="B560" s="3" t="n">
        <v>22.8</v>
      </c>
      <c r="C560" s="3" t="n">
        <v>32.72</v>
      </c>
      <c r="D560" s="3" t="n">
        <v>71.40000000000001</v>
      </c>
      <c r="E560" s="3" t="n">
        <v>13.43</v>
      </c>
      <c r="F560" s="3" t="n">
        <v>31.42</v>
      </c>
      <c r="G560" s="3" t="n">
        <v>12.43</v>
      </c>
      <c r="H560" s="3" t="n">
        <v>13.35</v>
      </c>
      <c r="I560" s="3" t="n">
        <v>4.31</v>
      </c>
      <c r="J560" s="3" t="n">
        <v>116.82</v>
      </c>
    </row>
    <row r="561">
      <c r="A561" s="8" t="n">
        <v>45244</v>
      </c>
      <c r="B561" s="3" t="n">
        <v>23.41</v>
      </c>
      <c r="C561" s="3" t="n">
        <v>33.46</v>
      </c>
      <c r="D561" s="3" t="n">
        <v>73.61</v>
      </c>
      <c r="E561" s="3" t="n">
        <v>13.7</v>
      </c>
      <c r="F561" s="3" t="n">
        <v>31.65</v>
      </c>
      <c r="G561" s="3" t="n">
        <v>12.66</v>
      </c>
      <c r="H561" s="3" t="n">
        <v>14.03</v>
      </c>
      <c r="I561" s="3" t="n">
        <v>4.55</v>
      </c>
      <c r="J561" s="3" t="n">
        <v>119.61</v>
      </c>
    </row>
    <row r="562">
      <c r="A562" s="8" t="n">
        <v>45246</v>
      </c>
      <c r="B562" s="3" t="n">
        <v>23.61</v>
      </c>
      <c r="C562" s="3" t="n">
        <v>33.48</v>
      </c>
      <c r="D562" s="3" t="n">
        <v>74.09999999999999</v>
      </c>
      <c r="E562" s="3" t="n">
        <v>13.67</v>
      </c>
      <c r="F562" s="3" t="n">
        <v>32.14</v>
      </c>
      <c r="G562" s="3" t="n">
        <v>12.92</v>
      </c>
      <c r="H562" s="3" t="n">
        <v>14.4</v>
      </c>
      <c r="I562" s="3" t="n">
        <v>4.71</v>
      </c>
      <c r="J562" s="3" t="n">
        <v>120.96</v>
      </c>
    </row>
    <row r="563">
      <c r="A563" s="8" t="n">
        <v>45247</v>
      </c>
      <c r="B563" s="3" t="n">
        <v>23.25</v>
      </c>
      <c r="C563" s="3" t="n">
        <v>33.26</v>
      </c>
      <c r="D563" s="3" t="n">
        <v>74.23999999999999</v>
      </c>
      <c r="E563" s="3" t="n">
        <v>13.6</v>
      </c>
      <c r="F563" s="3" t="n">
        <v>31.78</v>
      </c>
      <c r="G563" s="3" t="n">
        <v>12.73</v>
      </c>
      <c r="H563" s="3" t="n">
        <v>14.35</v>
      </c>
      <c r="I563" s="3" t="n">
        <v>4.58</v>
      </c>
      <c r="J563" s="3" t="n">
        <v>121.1</v>
      </c>
    </row>
    <row r="564">
      <c r="A564" s="8" t="n">
        <v>45250</v>
      </c>
      <c r="B564" s="3" t="n">
        <v>23.56</v>
      </c>
      <c r="C564" s="3" t="n">
        <v>33.48</v>
      </c>
      <c r="D564" s="3" t="n">
        <v>76.06</v>
      </c>
      <c r="E564" s="3" t="n">
        <v>13.6</v>
      </c>
      <c r="F564" s="3" t="n">
        <v>31.98</v>
      </c>
      <c r="G564" s="3" t="n">
        <v>13.11</v>
      </c>
      <c r="H564" s="3" t="n">
        <v>14.65</v>
      </c>
      <c r="I564" s="3" t="n">
        <v>4.64</v>
      </c>
      <c r="J564" s="3" t="n">
        <v>122.25</v>
      </c>
    </row>
    <row r="565">
      <c r="A565" s="8" t="n">
        <v>45251</v>
      </c>
      <c r="B565" s="3" t="n">
        <v>22.9</v>
      </c>
      <c r="C565" s="3" t="n">
        <v>33.66</v>
      </c>
      <c r="D565" s="3" t="n">
        <v>77.90000000000001</v>
      </c>
      <c r="E565" s="3" t="n">
        <v>13.44</v>
      </c>
      <c r="F565" s="3" t="n">
        <v>31.91</v>
      </c>
      <c r="G565" s="3" t="n">
        <v>12.84</v>
      </c>
      <c r="H565" s="3" t="n">
        <v>14.4</v>
      </c>
      <c r="I565" s="3" t="n">
        <v>4.65</v>
      </c>
      <c r="J565" s="3" t="n">
        <v>121.76</v>
      </c>
    </row>
    <row r="566">
      <c r="A566" s="8" t="n">
        <v>45252</v>
      </c>
      <c r="B566" s="3" t="n">
        <v>22.67</v>
      </c>
      <c r="C566" s="3" t="n">
        <v>34.1</v>
      </c>
      <c r="D566" s="3" t="n">
        <v>74.84999999999999</v>
      </c>
      <c r="E566" s="3" t="n">
        <v>13.57</v>
      </c>
      <c r="F566" s="3" t="n">
        <v>32.03</v>
      </c>
      <c r="G566" s="3" t="n">
        <v>13.02</v>
      </c>
      <c r="H566" s="3" t="n">
        <v>14.98</v>
      </c>
      <c r="I566" s="3" t="n">
        <v>4.56</v>
      </c>
      <c r="J566" s="3" t="n">
        <v>122.15</v>
      </c>
    </row>
    <row r="567">
      <c r="A567" s="8" t="n">
        <v>45253</v>
      </c>
      <c r="B567" s="3" t="n">
        <v>22.91</v>
      </c>
      <c r="C567" s="3" t="n">
        <v>34.06</v>
      </c>
      <c r="D567" s="3" t="n">
        <v>74.38</v>
      </c>
      <c r="E567" s="3" t="n">
        <v>13.55</v>
      </c>
      <c r="F567" s="3" t="n">
        <v>32.1</v>
      </c>
      <c r="G567" s="3" t="n">
        <v>13.17</v>
      </c>
      <c r="H567" s="3" t="n">
        <v>15.03</v>
      </c>
      <c r="I567" s="3" t="n">
        <v>4.5</v>
      </c>
      <c r="J567" s="3" t="n">
        <v>122.83</v>
      </c>
    </row>
    <row r="568">
      <c r="A568" s="8" t="n">
        <v>45254</v>
      </c>
      <c r="B568" s="3" t="n">
        <v>22.56</v>
      </c>
      <c r="C568" s="3" t="n">
        <v>33.72</v>
      </c>
      <c r="D568" s="3" t="n">
        <v>73.75</v>
      </c>
      <c r="E568" s="3" t="n">
        <v>13.39</v>
      </c>
      <c r="F568" s="3" t="n">
        <v>31.91</v>
      </c>
      <c r="G568" s="3" t="n">
        <v>12.92</v>
      </c>
      <c r="H568" s="3" t="n">
        <v>14.56</v>
      </c>
      <c r="I568" s="3" t="n">
        <v>4.43</v>
      </c>
      <c r="J568" s="3" t="n">
        <v>121.66</v>
      </c>
    </row>
    <row r="569">
      <c r="A569" s="8" t="n">
        <v>45257</v>
      </c>
      <c r="B569" s="3" t="n">
        <v>22.57</v>
      </c>
      <c r="C569" s="3" t="n">
        <v>34.14</v>
      </c>
      <c r="D569" s="3" t="n">
        <v>73.31</v>
      </c>
      <c r="E569" s="3" t="n">
        <v>13.58</v>
      </c>
      <c r="F569" s="3" t="n">
        <v>31.71</v>
      </c>
      <c r="G569" s="3" t="n">
        <v>12.92</v>
      </c>
      <c r="H569" s="3" t="n">
        <v>14.87</v>
      </c>
      <c r="I569" s="3" t="n">
        <v>4.56</v>
      </c>
      <c r="J569" s="3" t="n">
        <v>121.94</v>
      </c>
    </row>
    <row r="570">
      <c r="A570" s="8" t="n">
        <v>45258</v>
      </c>
      <c r="B570" s="3" t="n">
        <v>22.68</v>
      </c>
      <c r="C570" s="3" t="n">
        <v>34.37</v>
      </c>
      <c r="D570" s="3" t="n">
        <v>73.47</v>
      </c>
      <c r="E570" s="3" t="n">
        <v>13.65</v>
      </c>
      <c r="F570" s="3" t="n">
        <v>31.81</v>
      </c>
      <c r="G570" s="3" t="n">
        <v>13.22</v>
      </c>
      <c r="H570" s="3" t="n">
        <v>15.45</v>
      </c>
      <c r="I570" s="3" t="n">
        <v>4.69</v>
      </c>
      <c r="J570" s="3" t="n">
        <v>122.72</v>
      </c>
    </row>
    <row r="571">
      <c r="A571" s="8" t="n">
        <v>45259</v>
      </c>
      <c r="B571" s="3" t="n">
        <v>22.9</v>
      </c>
      <c r="C571" s="3" t="n">
        <v>34.13</v>
      </c>
      <c r="D571" s="3" t="n">
        <v>73.45</v>
      </c>
      <c r="E571" s="3" t="n">
        <v>13.3</v>
      </c>
      <c r="F571" s="3" t="n">
        <v>31.45</v>
      </c>
      <c r="G571" s="3" t="n">
        <v>13.25</v>
      </c>
      <c r="H571" s="3" t="n">
        <v>16.09</v>
      </c>
      <c r="I571" s="3" t="n">
        <v>4.45</v>
      </c>
      <c r="J571" s="3" t="n">
        <v>122.27</v>
      </c>
    </row>
    <row r="572">
      <c r="A572" s="8" t="n">
        <v>45260</v>
      </c>
      <c r="B572" s="3" t="n">
        <v>22.9</v>
      </c>
      <c r="C572" s="3" t="n">
        <v>34.19</v>
      </c>
      <c r="D572" s="3" t="n">
        <v>73.84999999999999</v>
      </c>
      <c r="E572" s="3" t="n">
        <v>13.69</v>
      </c>
      <c r="F572" s="3" t="n">
        <v>31.3</v>
      </c>
      <c r="G572" s="3" t="n">
        <v>13.3</v>
      </c>
      <c r="H572" s="3" t="n">
        <v>16.37</v>
      </c>
      <c r="I572" s="3" t="n">
        <v>4.37</v>
      </c>
      <c r="J572" s="3" t="n">
        <v>123.57</v>
      </c>
    </row>
    <row r="573">
      <c r="A573" s="8" t="n">
        <v>45261</v>
      </c>
      <c r="B573" s="3" t="n">
        <v>22.77</v>
      </c>
      <c r="C573" s="3" t="n">
        <v>34.78</v>
      </c>
      <c r="D573" s="3" t="n">
        <v>75.22</v>
      </c>
      <c r="E573" s="3" t="n">
        <v>14.08</v>
      </c>
      <c r="F573" s="3" t="n">
        <v>30.9</v>
      </c>
      <c r="G573" s="3" t="n">
        <v>13.53</v>
      </c>
      <c r="H573" s="3" t="n">
        <v>16.38</v>
      </c>
      <c r="I573" s="3" t="n">
        <v>4.42</v>
      </c>
      <c r="J573" s="3" t="n">
        <v>124.24</v>
      </c>
    </row>
    <row r="574">
      <c r="A574" s="8" t="n">
        <v>45264</v>
      </c>
      <c r="B574" s="3" t="n">
        <v>22.58</v>
      </c>
      <c r="C574" s="3" t="n">
        <v>34.76</v>
      </c>
      <c r="D574" s="3" t="n">
        <v>73.53</v>
      </c>
      <c r="E574" s="3" t="n">
        <v>14.06</v>
      </c>
      <c r="F574" s="3" t="n">
        <v>30.82</v>
      </c>
      <c r="G574" s="3" t="n">
        <v>13.54</v>
      </c>
      <c r="H574" s="3" t="n">
        <v>16.05</v>
      </c>
      <c r="I574" s="3" t="n">
        <v>4.29</v>
      </c>
      <c r="J574" s="3" t="n">
        <v>122.96</v>
      </c>
    </row>
    <row r="575">
      <c r="A575" s="8" t="n">
        <v>45265</v>
      </c>
      <c r="B575" s="3" t="n">
        <v>22.46</v>
      </c>
      <c r="C575" s="3" t="n">
        <v>35.3</v>
      </c>
      <c r="D575" s="3" t="n">
        <v>72.84999999999999</v>
      </c>
      <c r="E575" s="3" t="n">
        <v>14.24</v>
      </c>
      <c r="F575" s="3" t="n">
        <v>30.7</v>
      </c>
      <c r="G575" s="3" t="n">
        <v>13.45</v>
      </c>
      <c r="H575" s="3" t="n">
        <v>16.25</v>
      </c>
      <c r="I575" s="3" t="n">
        <v>4.38</v>
      </c>
      <c r="J575" s="3" t="n">
        <v>123.01</v>
      </c>
    </row>
    <row r="576">
      <c r="A576" s="8" t="n">
        <v>45266</v>
      </c>
      <c r="B576" s="3" t="n">
        <v>22.55</v>
      </c>
      <c r="C576" s="3" t="n">
        <v>35.39</v>
      </c>
      <c r="D576" s="3" t="n">
        <v>72.37</v>
      </c>
      <c r="E576" s="3" t="n">
        <v>13.99</v>
      </c>
      <c r="F576" s="3" t="n">
        <v>30.68</v>
      </c>
      <c r="G576" s="3" t="n">
        <v>13.23</v>
      </c>
      <c r="H576" s="3" t="n">
        <v>16.38</v>
      </c>
      <c r="I576" s="3" t="n">
        <v>4.27</v>
      </c>
      <c r="J576" s="3" t="n">
        <v>121.72</v>
      </c>
    </row>
    <row r="577">
      <c r="A577" s="8" t="n">
        <v>45267</v>
      </c>
      <c r="B577" s="3" t="n">
        <v>22.39</v>
      </c>
      <c r="C577" s="3" t="n">
        <v>35.36</v>
      </c>
      <c r="D577" s="3" t="n">
        <v>72.59999999999999</v>
      </c>
      <c r="E577" s="3" t="n">
        <v>14.08</v>
      </c>
      <c r="F577" s="3" t="n">
        <v>31.1</v>
      </c>
      <c r="G577" s="3" t="n">
        <v>13.29</v>
      </c>
      <c r="H577" s="3" t="n">
        <v>16.62</v>
      </c>
      <c r="I577" s="3" t="n">
        <v>4.28</v>
      </c>
      <c r="J577" s="3" t="n">
        <v>122.29</v>
      </c>
    </row>
    <row r="578">
      <c r="A578" s="8" t="n">
        <v>45268</v>
      </c>
      <c r="B578" s="3" t="n">
        <v>22.17</v>
      </c>
      <c r="C578" s="3" t="n">
        <v>34.65</v>
      </c>
      <c r="D578" s="3" t="n">
        <v>72.8</v>
      </c>
      <c r="E578" s="3" t="n">
        <v>14.31</v>
      </c>
      <c r="F578" s="3" t="n">
        <v>31.11</v>
      </c>
      <c r="G578" s="3" t="n">
        <v>13.54</v>
      </c>
      <c r="H578" s="3" t="n">
        <v>16.45</v>
      </c>
      <c r="I578" s="3" t="n">
        <v>4.35</v>
      </c>
      <c r="J578" s="3" t="n">
        <v>123.31</v>
      </c>
    </row>
    <row r="579">
      <c r="A579" s="8" t="n">
        <v>45271</v>
      </c>
      <c r="B579" s="3" t="n">
        <v>22.15</v>
      </c>
      <c r="C579" s="3" t="n">
        <v>34.87</v>
      </c>
      <c r="D579" s="3" t="n">
        <v>72.86</v>
      </c>
      <c r="E579" s="3" t="n">
        <v>14.32</v>
      </c>
      <c r="F579" s="3" t="n">
        <v>31.18</v>
      </c>
      <c r="G579" s="3" t="n">
        <v>13.93</v>
      </c>
      <c r="H579" s="3" t="n">
        <v>16.27</v>
      </c>
      <c r="I579" s="3" t="n">
        <v>4.23</v>
      </c>
      <c r="J579" s="3" t="n">
        <v>123.11</v>
      </c>
    </row>
    <row r="580">
      <c r="A580" s="8" t="n">
        <v>45272</v>
      </c>
      <c r="B580" s="3" t="n">
        <v>22.33</v>
      </c>
      <c r="C580" s="3" t="n">
        <v>35.03</v>
      </c>
      <c r="D580" s="3" t="n">
        <v>72.98999999999999</v>
      </c>
      <c r="E580" s="3" t="n">
        <v>14.23</v>
      </c>
      <c r="F580" s="3" t="n">
        <v>31.21</v>
      </c>
      <c r="G580" s="3" t="n">
        <v>13.85</v>
      </c>
      <c r="H580" s="3" t="n">
        <v>16.19</v>
      </c>
      <c r="I580" s="3" t="n">
        <v>4.15</v>
      </c>
      <c r="J580" s="3" t="n">
        <v>122.6</v>
      </c>
    </row>
    <row r="581">
      <c r="A581" s="8" t="n">
        <v>45273</v>
      </c>
      <c r="B581" s="3" t="n">
        <v>22.34</v>
      </c>
      <c r="C581" s="3" t="n">
        <v>36.06</v>
      </c>
      <c r="D581" s="3" t="n">
        <v>73</v>
      </c>
      <c r="E581" s="3" t="n">
        <v>14.7</v>
      </c>
      <c r="F581" s="3" t="n">
        <v>31.05</v>
      </c>
      <c r="G581" s="3" t="n">
        <v>14.43</v>
      </c>
      <c r="H581" s="3" t="n">
        <v>16.73</v>
      </c>
      <c r="I581" s="3" t="n">
        <v>4.51</v>
      </c>
      <c r="J581" s="3" t="n">
        <v>126.12</v>
      </c>
    </row>
    <row r="582">
      <c r="A582" s="8" t="n">
        <v>45274</v>
      </c>
      <c r="B582" s="3" t="n">
        <v>22.95</v>
      </c>
      <c r="C582" s="3" t="n">
        <v>36.3</v>
      </c>
      <c r="D582" s="3" t="n">
        <v>73.40000000000001</v>
      </c>
      <c r="E582" s="3" t="n">
        <v>14.5</v>
      </c>
      <c r="F582" s="3" t="n">
        <v>31.64</v>
      </c>
      <c r="G582" s="3" t="n">
        <v>14.83</v>
      </c>
      <c r="H582" s="3" t="n">
        <v>17.45</v>
      </c>
      <c r="I582" s="3" t="n">
        <v>4.63</v>
      </c>
      <c r="J582" s="3" t="n">
        <v>126.88</v>
      </c>
    </row>
    <row r="583">
      <c r="A583" s="8" t="n">
        <v>45275</v>
      </c>
      <c r="B583" s="3" t="n">
        <v>22.82</v>
      </c>
      <c r="C583" s="3" t="n">
        <v>36.03</v>
      </c>
      <c r="D583" s="3" t="n">
        <v>73.86</v>
      </c>
      <c r="E583" s="3" t="n">
        <v>14.47</v>
      </c>
      <c r="F583" s="3" t="n">
        <v>32.07</v>
      </c>
      <c r="G583" s="3" t="n">
        <v>14.67</v>
      </c>
      <c r="H583" s="3" t="n">
        <v>17.3</v>
      </c>
      <c r="I583" s="3" t="n">
        <v>4.38</v>
      </c>
      <c r="J583" s="3" t="n">
        <v>126.28</v>
      </c>
    </row>
    <row r="584">
      <c r="A584" s="8" t="n">
        <v>45278</v>
      </c>
      <c r="B584" s="3" t="n">
        <v>22.21</v>
      </c>
      <c r="C584" s="3" t="n">
        <v>36.04</v>
      </c>
      <c r="D584" s="3" t="n">
        <v>74.20999999999999</v>
      </c>
      <c r="E584" s="3" t="n">
        <v>14.55</v>
      </c>
      <c r="F584" s="3" t="n">
        <v>32.53</v>
      </c>
      <c r="G584" s="3" t="n">
        <v>14.74</v>
      </c>
      <c r="H584" s="3" t="n">
        <v>17.3</v>
      </c>
      <c r="I584" s="3" t="n">
        <v>4.51</v>
      </c>
      <c r="J584" s="3" t="n">
        <v>127.27</v>
      </c>
    </row>
    <row r="585">
      <c r="A585" s="8" t="n">
        <v>45279</v>
      </c>
      <c r="B585" s="3" t="n">
        <v>22.4</v>
      </c>
      <c r="C585" s="3" t="n">
        <v>36.42</v>
      </c>
      <c r="D585" s="3" t="n">
        <v>74.73</v>
      </c>
      <c r="E585" s="3" t="n">
        <v>14.7</v>
      </c>
      <c r="F585" s="3" t="n">
        <v>33.37</v>
      </c>
      <c r="G585" s="3" t="n">
        <v>14.55</v>
      </c>
      <c r="H585" s="3" t="n">
        <v>17.34</v>
      </c>
      <c r="I585" s="3" t="n">
        <v>4.46</v>
      </c>
      <c r="J585" s="3" t="n">
        <v>128.05</v>
      </c>
    </row>
    <row r="586">
      <c r="A586" s="8" t="n">
        <v>45280</v>
      </c>
      <c r="B586" s="3" t="n">
        <v>22.6</v>
      </c>
      <c r="C586" s="3" t="n">
        <v>36.16</v>
      </c>
      <c r="D586" s="3" t="n">
        <v>74.48999999999999</v>
      </c>
      <c r="E586" s="3" t="n">
        <v>13.74</v>
      </c>
      <c r="F586" s="3" t="n">
        <v>33.15</v>
      </c>
      <c r="G586" s="3" t="n">
        <v>14.17</v>
      </c>
      <c r="H586" s="3" t="n">
        <v>17.11</v>
      </c>
      <c r="I586" s="3" t="n">
        <v>4.34</v>
      </c>
      <c r="J586" s="3" t="n">
        <v>126.82</v>
      </c>
    </row>
    <row r="587">
      <c r="A587" s="8" t="n">
        <v>45281</v>
      </c>
      <c r="B587" s="3" t="n">
        <v>22.82</v>
      </c>
      <c r="C587" s="3" t="n">
        <v>36.39</v>
      </c>
      <c r="D587" s="3" t="n">
        <v>76.97</v>
      </c>
      <c r="E587" s="3" t="n">
        <v>13.7</v>
      </c>
      <c r="F587" s="3" t="n">
        <v>33.15</v>
      </c>
      <c r="G587" s="3" t="n">
        <v>14.49</v>
      </c>
      <c r="H587" s="3" t="n">
        <v>17.32</v>
      </c>
      <c r="I587" s="3" t="n">
        <v>4.33</v>
      </c>
      <c r="J587" s="3" t="n">
        <v>128.35</v>
      </c>
    </row>
    <row r="588">
      <c r="A588" s="8" t="n">
        <v>45282</v>
      </c>
      <c r="B588" s="3" t="n">
        <v>22.9</v>
      </c>
      <c r="C588" s="3" t="n">
        <v>36.51</v>
      </c>
      <c r="D588" s="3" t="n">
        <v>76.39</v>
      </c>
      <c r="E588" s="3" t="n">
        <v>13.71</v>
      </c>
      <c r="F588" s="3" t="n">
        <v>33.36</v>
      </c>
      <c r="G588" s="3" t="n">
        <v>14.51</v>
      </c>
      <c r="H588" s="3" t="n">
        <v>17.71</v>
      </c>
      <c r="I588" s="3" t="n">
        <v>4.35</v>
      </c>
      <c r="J588" s="3" t="n">
        <v>128.94</v>
      </c>
    </row>
    <row r="589">
      <c r="A589" s="8" t="n">
        <v>45286</v>
      </c>
      <c r="B589" s="3" t="n">
        <v>22.91</v>
      </c>
      <c r="C589" s="3" t="n">
        <v>36.72</v>
      </c>
      <c r="D589" s="3" t="n">
        <v>76.66</v>
      </c>
      <c r="E589" s="3" t="n">
        <v>13.77</v>
      </c>
      <c r="F589" s="3" t="n">
        <v>33.61</v>
      </c>
      <c r="G589" s="3" t="n">
        <v>14.66</v>
      </c>
      <c r="H589" s="3" t="n">
        <v>17.58</v>
      </c>
      <c r="I589" s="3" t="n">
        <v>4.31</v>
      </c>
      <c r="J589" s="3" t="n">
        <v>129.65</v>
      </c>
    </row>
    <row r="590">
      <c r="A590" s="8" t="n">
        <v>45287</v>
      </c>
      <c r="B590" s="3" t="n">
        <v>23</v>
      </c>
      <c r="C590" s="3" t="n">
        <v>36.84</v>
      </c>
      <c r="D590" s="3" t="n">
        <v>77.40000000000001</v>
      </c>
      <c r="E590" s="3" t="n">
        <v>13.84</v>
      </c>
      <c r="F590" s="3" t="n">
        <v>33.38</v>
      </c>
      <c r="G590" s="3" t="n">
        <v>14.58</v>
      </c>
      <c r="H590" s="3" t="n">
        <v>17.55</v>
      </c>
      <c r="I590" s="3" t="n">
        <v>4.38</v>
      </c>
      <c r="J590" s="3" t="n">
        <v>130.46</v>
      </c>
    </row>
    <row r="591">
      <c r="A591" s="8" t="n">
        <v>45288</v>
      </c>
      <c r="B591" s="3" t="n">
        <v>22.95</v>
      </c>
      <c r="C591" s="3" t="n">
        <v>36.91</v>
      </c>
      <c r="D591" s="3" t="n">
        <v>77.2</v>
      </c>
      <c r="E591" s="3" t="n">
        <v>13.73</v>
      </c>
      <c r="F591" s="3" t="n">
        <v>33.65</v>
      </c>
      <c r="G591" s="3" t="n">
        <v>14.55</v>
      </c>
      <c r="H591" s="3" t="n">
        <v>17.42</v>
      </c>
      <c r="I591" s="3" t="n">
        <v>4.45</v>
      </c>
      <c r="J591" s="3" t="n">
        <v>130.39</v>
      </c>
    </row>
    <row r="592">
      <c r="A592" s="8" t="n">
        <v>45293</v>
      </c>
      <c r="B592" s="3" t="n">
        <v>22.25</v>
      </c>
      <c r="C592" s="3" t="n">
        <v>36.57</v>
      </c>
      <c r="D592" s="3" t="n">
        <v>77.05</v>
      </c>
      <c r="E592" s="3" t="n">
        <v>13.71</v>
      </c>
      <c r="F592" s="3" t="n">
        <v>33.89</v>
      </c>
      <c r="G592" s="3" t="n">
        <v>14.17</v>
      </c>
      <c r="H592" s="3" t="n">
        <v>17.21</v>
      </c>
      <c r="I592" s="3" t="n">
        <v>4.29</v>
      </c>
      <c r="J592" s="3" t="n">
        <v>128.76</v>
      </c>
    </row>
    <row r="593">
      <c r="A593" s="8" t="n">
        <v>45294</v>
      </c>
      <c r="B593" s="3" t="n">
        <v>22.38</v>
      </c>
      <c r="C593" s="3" t="n">
        <v>36.85</v>
      </c>
      <c r="D593" s="3" t="n">
        <v>76.65000000000001</v>
      </c>
      <c r="E593" s="3" t="n">
        <v>13.6</v>
      </c>
      <c r="F593" s="3" t="n">
        <v>33.74</v>
      </c>
      <c r="G593" s="3" t="n">
        <v>14.13</v>
      </c>
      <c r="H593" s="3" t="n">
        <v>16.89</v>
      </c>
      <c r="I593" s="3" t="n">
        <v>4.24</v>
      </c>
      <c r="J593" s="3" t="n">
        <v>128.99</v>
      </c>
    </row>
    <row r="594">
      <c r="A594" s="8" t="n">
        <v>45295</v>
      </c>
      <c r="B594" s="3" t="n">
        <v>22.4</v>
      </c>
      <c r="C594" s="3" t="n">
        <v>36.36</v>
      </c>
      <c r="D594" s="3" t="n">
        <v>75.62</v>
      </c>
      <c r="E594" s="3" t="n">
        <v>13.65</v>
      </c>
      <c r="F594" s="3" t="n">
        <v>33.98</v>
      </c>
      <c r="G594" s="3" t="n">
        <v>13.72</v>
      </c>
      <c r="H594" s="3" t="n">
        <v>16.23</v>
      </c>
      <c r="I594" s="3" t="n">
        <v>4.11</v>
      </c>
      <c r="J594" s="3" t="n">
        <v>127.35</v>
      </c>
    </row>
    <row r="595">
      <c r="A595" s="8" t="n">
        <v>45296</v>
      </c>
      <c r="B595" s="3" t="n">
        <v>22.65</v>
      </c>
      <c r="C595" s="3" t="n">
        <v>35.97</v>
      </c>
      <c r="D595" s="3" t="n">
        <v>74.65000000000001</v>
      </c>
      <c r="E595" s="3" t="n">
        <v>13.6</v>
      </c>
      <c r="F595" s="3" t="n">
        <v>33.68</v>
      </c>
      <c r="G595" s="3" t="n">
        <v>13.97</v>
      </c>
      <c r="H595" s="3" t="n">
        <v>16.64</v>
      </c>
      <c r="I595" s="3" t="n">
        <v>4.27</v>
      </c>
      <c r="J595" s="3" t="n">
        <v>128.25</v>
      </c>
    </row>
    <row r="596">
      <c r="A596" s="8" t="n">
        <v>45299</v>
      </c>
      <c r="B596" s="3" t="n">
        <v>23.64</v>
      </c>
      <c r="C596" s="3" t="n">
        <v>36.06</v>
      </c>
      <c r="D596" s="3" t="n">
        <v>74.27</v>
      </c>
      <c r="E596" s="3" t="n">
        <v>13.71</v>
      </c>
      <c r="F596" s="3" t="n">
        <v>33.52</v>
      </c>
      <c r="G596" s="3" t="n">
        <v>14.28</v>
      </c>
      <c r="H596" s="3" t="n">
        <v>17.28</v>
      </c>
      <c r="I596" s="3" t="n">
        <v>4.43</v>
      </c>
      <c r="J596" s="3" t="n">
        <v>128.57</v>
      </c>
    </row>
    <row r="597">
      <c r="A597" s="8" t="n">
        <v>45300</v>
      </c>
      <c r="B597" s="3" t="n">
        <v>23.5</v>
      </c>
      <c r="C597" s="3" t="n">
        <v>35.17</v>
      </c>
      <c r="D597" s="3" t="n">
        <v>73.33</v>
      </c>
      <c r="E597" s="3" t="n">
        <v>13.62</v>
      </c>
      <c r="F597" s="3" t="n">
        <v>33.4</v>
      </c>
      <c r="G597" s="3" t="n">
        <v>14.06</v>
      </c>
      <c r="H597" s="3" t="n">
        <v>16.81</v>
      </c>
      <c r="I597" s="3" t="n">
        <v>4.44</v>
      </c>
      <c r="J597" s="3" t="n">
        <v>127.59</v>
      </c>
    </row>
    <row r="598">
      <c r="A598" s="8" t="n">
        <v>45301</v>
      </c>
      <c r="B598" s="3" t="n">
        <v>23.81</v>
      </c>
      <c r="C598" s="3" t="n">
        <v>35.32</v>
      </c>
      <c r="D598" s="3" t="n">
        <v>72.23</v>
      </c>
      <c r="E598" s="3" t="n">
        <v>13.76</v>
      </c>
      <c r="F598" s="3" t="n">
        <v>33.19</v>
      </c>
      <c r="G598" s="3" t="n">
        <v>13.92</v>
      </c>
      <c r="H598" s="3" t="n">
        <v>16.49</v>
      </c>
      <c r="I598" s="3" t="n">
        <v>4.45</v>
      </c>
      <c r="J598" s="3" t="n">
        <v>126.94</v>
      </c>
    </row>
    <row r="599">
      <c r="A599" s="8" t="n">
        <v>45302</v>
      </c>
      <c r="B599" s="3" t="n">
        <v>23.11</v>
      </c>
      <c r="C599" s="3" t="n">
        <v>34.82</v>
      </c>
      <c r="D599" s="3" t="n">
        <v>72.61</v>
      </c>
      <c r="E599" s="3" t="n">
        <v>13.56</v>
      </c>
      <c r="F599" s="3" t="n">
        <v>33.28</v>
      </c>
      <c r="G599" s="3" t="n">
        <v>13.95</v>
      </c>
      <c r="H599" s="3" t="n">
        <v>16.45</v>
      </c>
      <c r="I599" s="3" t="n">
        <v>4.33</v>
      </c>
      <c r="J599" s="3" t="n">
        <v>126.81</v>
      </c>
    </row>
    <row r="600">
      <c r="A600" s="8" t="n">
        <v>45303</v>
      </c>
      <c r="B600" s="3" t="n">
        <v>23.47</v>
      </c>
      <c r="C600" s="3" t="n">
        <v>34.67</v>
      </c>
      <c r="D600" s="3" t="n">
        <v>71.69</v>
      </c>
      <c r="E600" s="3" t="n">
        <v>13.59</v>
      </c>
      <c r="F600" s="3" t="n">
        <v>33.34</v>
      </c>
      <c r="G600" s="3" t="n">
        <v>14.1</v>
      </c>
      <c r="H600" s="3" t="n">
        <v>16.96</v>
      </c>
      <c r="I600" s="3" t="n">
        <v>4.53</v>
      </c>
      <c r="J600" s="3" t="n">
        <v>127.23</v>
      </c>
    </row>
    <row r="601">
      <c r="A601" s="8" t="n">
        <v>45306</v>
      </c>
      <c r="B601" s="3" t="n">
        <v>23.29</v>
      </c>
      <c r="C601" s="3" t="n">
        <v>34.32</v>
      </c>
      <c r="D601" s="3" t="n">
        <v>71.55</v>
      </c>
      <c r="E601" s="3" t="n">
        <v>13.59</v>
      </c>
      <c r="F601" s="3" t="n">
        <v>33.69</v>
      </c>
      <c r="G601" s="3" t="n">
        <v>14.13</v>
      </c>
      <c r="H601" s="3" t="n">
        <v>17</v>
      </c>
      <c r="I601" s="3" t="n">
        <v>4.56</v>
      </c>
      <c r="J601" s="3" t="n">
        <v>127.82</v>
      </c>
    </row>
    <row r="602">
      <c r="A602" s="8" t="n">
        <v>45307</v>
      </c>
      <c r="B602" s="3" t="n">
        <v>22.77</v>
      </c>
      <c r="C602" s="3" t="n">
        <v>33.61</v>
      </c>
      <c r="D602" s="3" t="n">
        <v>70.62</v>
      </c>
      <c r="E602" s="3" t="n">
        <v>13.35</v>
      </c>
      <c r="F602" s="3" t="n">
        <v>33.48</v>
      </c>
      <c r="G602" s="3" t="n">
        <v>13.98</v>
      </c>
      <c r="H602" s="3" t="n">
        <v>16.71</v>
      </c>
      <c r="I602" s="3" t="n">
        <v>4.45</v>
      </c>
      <c r="J602" s="3" t="n">
        <v>125.49</v>
      </c>
    </row>
    <row r="603">
      <c r="A603" s="8" t="n">
        <v>45308</v>
      </c>
      <c r="B603" s="3" t="n">
        <v>22.02</v>
      </c>
      <c r="C603" s="3" t="n">
        <v>33.4</v>
      </c>
      <c r="D603" s="3" t="n">
        <v>69.45</v>
      </c>
      <c r="E603" s="3" t="n">
        <v>13.43</v>
      </c>
      <c r="F603" s="3" t="n">
        <v>33.91</v>
      </c>
      <c r="G603" s="3" t="n">
        <v>13.73</v>
      </c>
      <c r="H603" s="3" t="n">
        <v>16.78</v>
      </c>
      <c r="I603" s="3" t="n">
        <v>4.3</v>
      </c>
      <c r="J603" s="3" t="n">
        <v>124.53</v>
      </c>
    </row>
    <row r="604">
      <c r="A604" s="8" t="n">
        <v>45309</v>
      </c>
      <c r="B604" s="3" t="n">
        <v>21.77</v>
      </c>
      <c r="C604" s="3" t="n">
        <v>33.14</v>
      </c>
      <c r="D604" s="3" t="n">
        <v>69</v>
      </c>
      <c r="E604" s="3" t="n">
        <v>13.34</v>
      </c>
      <c r="F604" s="3" t="n">
        <v>34.38</v>
      </c>
      <c r="G604" s="3" t="n">
        <v>13.85</v>
      </c>
      <c r="H604" s="3" t="n">
        <v>16.49</v>
      </c>
      <c r="I604" s="3" t="n">
        <v>4</v>
      </c>
      <c r="J604" s="3" t="n">
        <v>123.56</v>
      </c>
    </row>
    <row r="605">
      <c r="A605" s="8" t="n">
        <v>45310</v>
      </c>
      <c r="B605" s="3" t="n">
        <v>22.4</v>
      </c>
      <c r="C605" s="3" t="n">
        <v>33.48</v>
      </c>
      <c r="D605" s="3" t="n">
        <v>68.09999999999999</v>
      </c>
      <c r="E605" s="3" t="n">
        <v>13.35</v>
      </c>
      <c r="F605" s="3" t="n">
        <v>34.55</v>
      </c>
      <c r="G605" s="3" t="n">
        <v>13.79</v>
      </c>
      <c r="H605" s="3" t="n">
        <v>16.72</v>
      </c>
      <c r="I605" s="3" t="n">
        <v>4.02</v>
      </c>
      <c r="J605" s="3" t="n">
        <v>123.84</v>
      </c>
    </row>
    <row r="606">
      <c r="A606" s="8" t="n">
        <v>45313</v>
      </c>
      <c r="B606" s="3" t="n">
        <v>22.28</v>
      </c>
      <c r="C606" s="3" t="n">
        <v>33.38</v>
      </c>
      <c r="D606" s="3" t="n">
        <v>67.8</v>
      </c>
      <c r="E606" s="3" t="n">
        <v>13.36</v>
      </c>
      <c r="F606" s="3" t="n">
        <v>34.63</v>
      </c>
      <c r="G606" s="3" t="n">
        <v>13.48</v>
      </c>
      <c r="H606" s="3" t="n">
        <v>15.81</v>
      </c>
      <c r="I606" s="3" t="n">
        <v>3.79</v>
      </c>
      <c r="J606" s="3" t="n">
        <v>122.7</v>
      </c>
    </row>
    <row r="607">
      <c r="A607" s="8" t="n">
        <v>45314</v>
      </c>
      <c r="B607" s="3" t="n">
        <v>22.94</v>
      </c>
      <c r="C607" s="3" t="n">
        <v>33.77</v>
      </c>
      <c r="D607" s="3" t="n">
        <v>69.2</v>
      </c>
      <c r="E607" s="3" t="n">
        <v>13.37</v>
      </c>
      <c r="F607" s="3" t="n">
        <v>34.51</v>
      </c>
      <c r="G607" s="3" t="n">
        <v>13.73</v>
      </c>
      <c r="H607" s="3" t="n">
        <v>15.91</v>
      </c>
      <c r="I607" s="3" t="n">
        <v>3.94</v>
      </c>
      <c r="J607" s="3" t="n">
        <v>124.55</v>
      </c>
    </row>
    <row r="608">
      <c r="A608" s="8" t="n">
        <v>45315</v>
      </c>
      <c r="B608" s="3" t="n">
        <v>22.51</v>
      </c>
      <c r="C608" s="3" t="n">
        <v>33.47</v>
      </c>
      <c r="D608" s="3" t="n">
        <v>69.90000000000001</v>
      </c>
      <c r="E608" s="3" t="n">
        <v>13.2</v>
      </c>
      <c r="F608" s="3" t="n">
        <v>34.24</v>
      </c>
      <c r="G608" s="3" t="n">
        <v>13.63</v>
      </c>
      <c r="H608" s="3" t="n">
        <v>15.8</v>
      </c>
      <c r="I608" s="3" t="n">
        <v>3.96</v>
      </c>
      <c r="J608" s="3" t="n">
        <v>123.97</v>
      </c>
    </row>
    <row r="609">
      <c r="A609" s="8" t="n">
        <v>45316</v>
      </c>
      <c r="B609" s="3" t="n">
        <v>22.45</v>
      </c>
      <c r="C609" s="3" t="n">
        <v>33.25</v>
      </c>
      <c r="D609" s="3" t="n">
        <v>68.36</v>
      </c>
      <c r="E609" s="3" t="n">
        <v>13.2</v>
      </c>
      <c r="F609" s="3" t="n">
        <v>33.74</v>
      </c>
      <c r="G609" s="3" t="n">
        <v>13.43</v>
      </c>
      <c r="H609" s="3" t="n">
        <v>16.15</v>
      </c>
      <c r="I609" s="3" t="n">
        <v>4.01</v>
      </c>
      <c r="J609" s="3" t="n">
        <v>124.46</v>
      </c>
    </row>
    <row r="610">
      <c r="A610" s="8" t="n">
        <v>45317</v>
      </c>
      <c r="B610" s="3" t="n">
        <v>22.64</v>
      </c>
      <c r="C610" s="3" t="n">
        <v>33.17</v>
      </c>
      <c r="D610" s="3" t="n">
        <v>69.5</v>
      </c>
      <c r="E610" s="3" t="n">
        <v>13.2</v>
      </c>
      <c r="F610" s="3" t="n">
        <v>33.73</v>
      </c>
      <c r="G610" s="3" t="n">
        <v>13.22</v>
      </c>
      <c r="H610" s="3" t="n">
        <v>15.78</v>
      </c>
      <c r="I610" s="3" t="n">
        <v>3.93</v>
      </c>
      <c r="J610" s="3" t="n">
        <v>125.08</v>
      </c>
    </row>
    <row r="611">
      <c r="A611" s="8" t="n">
        <v>45320</v>
      </c>
      <c r="B611" s="3" t="n">
        <v>22.86</v>
      </c>
      <c r="C611" s="3" t="n">
        <v>33.25</v>
      </c>
      <c r="D611" s="3" t="n">
        <v>69.17</v>
      </c>
      <c r="E611" s="3" t="n">
        <v>13.25</v>
      </c>
      <c r="F611" s="3" t="n">
        <v>34.09</v>
      </c>
      <c r="G611" s="3" t="n">
        <v>13.21</v>
      </c>
      <c r="H611" s="3" t="n">
        <v>15.71</v>
      </c>
      <c r="I611" s="3" t="n">
        <v>3.9</v>
      </c>
      <c r="J611" s="3" t="n">
        <v>124.75</v>
      </c>
    </row>
    <row r="612">
      <c r="A612" s="8" t="n">
        <v>45321</v>
      </c>
      <c r="B612" s="3" t="n">
        <v>22.63</v>
      </c>
      <c r="C612" s="3" t="n">
        <v>32.99</v>
      </c>
      <c r="D612" s="3" t="n">
        <v>68.78</v>
      </c>
      <c r="E612" s="3" t="n">
        <v>13.04</v>
      </c>
      <c r="F612" s="3" t="n">
        <v>33.83</v>
      </c>
      <c r="G612" s="3" t="n">
        <v>13</v>
      </c>
      <c r="H612" s="3" t="n">
        <v>15.58</v>
      </c>
      <c r="I612" s="3" t="n">
        <v>3.86</v>
      </c>
      <c r="J612" s="3" t="n">
        <v>123.57</v>
      </c>
    </row>
    <row r="613">
      <c r="A613" s="8" t="n">
        <v>45322</v>
      </c>
      <c r="B613" s="3" t="n">
        <v>23.06</v>
      </c>
      <c r="C613" s="3" t="n">
        <v>32.34</v>
      </c>
      <c r="D613" s="3" t="n">
        <v>67.76000000000001</v>
      </c>
      <c r="E613" s="3" t="n">
        <v>13.08</v>
      </c>
      <c r="F613" s="3" t="n">
        <v>34.25</v>
      </c>
      <c r="G613" s="3" t="n">
        <v>13.09</v>
      </c>
      <c r="H613" s="3" t="n">
        <v>16.05</v>
      </c>
      <c r="I613" s="3" t="n">
        <v>3.88</v>
      </c>
      <c r="J613" s="3" t="n">
        <v>123.95</v>
      </c>
    </row>
    <row r="614">
      <c r="A614" s="8" t="n">
        <v>45323</v>
      </c>
      <c r="B614" s="3" t="n">
        <v>23.02</v>
      </c>
      <c r="C614" s="3" t="n">
        <v>32.63</v>
      </c>
      <c r="D614" s="3" t="n">
        <v>67.45</v>
      </c>
      <c r="E614" s="3" t="n">
        <v>13.07</v>
      </c>
      <c r="F614" s="3" t="n">
        <v>34.31</v>
      </c>
      <c r="G614" s="3" t="n">
        <v>13.29</v>
      </c>
      <c r="H614" s="3" t="n">
        <v>16.16</v>
      </c>
      <c r="I614" s="3" t="n">
        <v>3.91</v>
      </c>
      <c r="J614" s="3" t="n">
        <v>124.76</v>
      </c>
    </row>
    <row r="615">
      <c r="A615" s="8" t="n">
        <v>45324</v>
      </c>
      <c r="B615" s="3" t="n">
        <v>22.84</v>
      </c>
      <c r="C615" s="3" t="n">
        <v>32.59</v>
      </c>
      <c r="D615" s="3" t="n">
        <v>66.08</v>
      </c>
      <c r="E615" s="3" t="n">
        <v>13.07</v>
      </c>
      <c r="F615" s="3" t="n">
        <v>34.09</v>
      </c>
      <c r="G615" s="3" t="n">
        <v>13.17</v>
      </c>
      <c r="H615" s="3" t="n">
        <v>15.74</v>
      </c>
      <c r="I615" s="3" t="n">
        <v>3.83</v>
      </c>
      <c r="J615" s="3" t="n">
        <v>123.32</v>
      </c>
    </row>
    <row r="616">
      <c r="A616" s="8" t="n">
        <v>45327</v>
      </c>
      <c r="B616" s="3" t="n">
        <v>22.67</v>
      </c>
      <c r="C616" s="3" t="n">
        <v>33.26</v>
      </c>
      <c r="D616" s="3" t="n">
        <v>65.51000000000001</v>
      </c>
      <c r="E616" s="3" t="n">
        <v>13.09</v>
      </c>
      <c r="F616" s="3" t="n">
        <v>34.55</v>
      </c>
      <c r="G616" s="3" t="n">
        <v>13.07</v>
      </c>
      <c r="H616" s="3" t="n">
        <v>15.02</v>
      </c>
      <c r="I616" s="3" t="n">
        <v>3.85</v>
      </c>
      <c r="J616" s="3" t="n">
        <v>123.86</v>
      </c>
    </row>
    <row r="617">
      <c r="A617" s="8" t="n">
        <v>45328</v>
      </c>
      <c r="B617" s="3" t="n">
        <v>22.52</v>
      </c>
      <c r="C617" s="3" t="n">
        <v>33.24</v>
      </c>
      <c r="D617" s="3" t="n">
        <v>66.67</v>
      </c>
      <c r="E617" s="3" t="n">
        <v>13.23</v>
      </c>
      <c r="F617" s="3" t="n">
        <v>35.5</v>
      </c>
      <c r="G617" s="3" t="n">
        <v>13.21</v>
      </c>
      <c r="H617" s="3" t="n">
        <v>15.61</v>
      </c>
      <c r="I617" s="3" t="n">
        <v>3.82</v>
      </c>
      <c r="J617" s="3" t="n">
        <v>126.88</v>
      </c>
    </row>
    <row r="618">
      <c r="A618" s="8" t="n">
        <v>45329</v>
      </c>
      <c r="B618" s="3" t="n">
        <v>23.46</v>
      </c>
      <c r="C618" s="3" t="n">
        <v>33.63</v>
      </c>
      <c r="D618" s="3" t="n">
        <v>66.8</v>
      </c>
      <c r="E618" s="3" t="n">
        <v>13</v>
      </c>
      <c r="F618" s="3" t="n">
        <v>35.84</v>
      </c>
      <c r="G618" s="3" t="n">
        <v>13.43</v>
      </c>
      <c r="H618" s="3" t="n">
        <v>15.51</v>
      </c>
      <c r="I618" s="3" t="n">
        <v>3.66</v>
      </c>
      <c r="J618" s="3" t="n">
        <v>126.05</v>
      </c>
    </row>
    <row r="619">
      <c r="A619" s="8" t="n">
        <v>45330</v>
      </c>
      <c r="B619" s="3" t="n">
        <v>23.55</v>
      </c>
      <c r="C619" s="3" t="n">
        <v>33.8</v>
      </c>
      <c r="D619" s="3" t="n">
        <v>66.20999999999999</v>
      </c>
      <c r="E619" s="3" t="n">
        <v>12.95</v>
      </c>
      <c r="F619" s="3" t="n">
        <v>34.5</v>
      </c>
      <c r="G619" s="3" t="n">
        <v>13.16</v>
      </c>
      <c r="H619" s="3" t="n">
        <v>14.96</v>
      </c>
      <c r="I619" s="3" t="n">
        <v>3.47</v>
      </c>
      <c r="J619" s="3" t="n">
        <v>124.51</v>
      </c>
    </row>
    <row r="620">
      <c r="A620" s="8" t="n">
        <v>45331</v>
      </c>
      <c r="B620" s="3" t="n">
        <v>24.09</v>
      </c>
      <c r="C620" s="3" t="n">
        <v>33.37</v>
      </c>
      <c r="D620" s="3" t="n">
        <v>65.92</v>
      </c>
      <c r="E620" s="3" t="n">
        <v>12.95</v>
      </c>
      <c r="F620" s="3" t="n">
        <v>32.79</v>
      </c>
      <c r="G620" s="3" t="n">
        <v>13.24</v>
      </c>
      <c r="H620" s="3" t="n">
        <v>14.83</v>
      </c>
      <c r="I620" s="3" t="n">
        <v>3.51</v>
      </c>
      <c r="J620" s="3" t="n">
        <v>124.13</v>
      </c>
    </row>
    <row r="621">
      <c r="A621" s="8" t="n">
        <v>45336</v>
      </c>
      <c r="B621" s="3" t="n">
        <v>23.83</v>
      </c>
      <c r="C621" s="3" t="n">
        <v>33.53</v>
      </c>
      <c r="D621" s="3" t="n">
        <v>65.72</v>
      </c>
      <c r="E621" s="3" t="n">
        <v>12.92</v>
      </c>
      <c r="F621" s="3" t="n">
        <v>32.93</v>
      </c>
      <c r="G621" s="3" t="n">
        <v>12.86</v>
      </c>
      <c r="H621" s="3" t="n">
        <v>14.6</v>
      </c>
      <c r="I621" s="3" t="n">
        <v>3.42</v>
      </c>
      <c r="J621" s="3" t="n">
        <v>123.23</v>
      </c>
    </row>
    <row r="622">
      <c r="A622" s="8" t="n">
        <v>45337</v>
      </c>
      <c r="B622" s="3" t="n">
        <v>23.89</v>
      </c>
      <c r="C622" s="3" t="n">
        <v>33.21</v>
      </c>
      <c r="D622" s="3" t="n">
        <v>65.51000000000001</v>
      </c>
      <c r="E622" s="3" t="n">
        <v>12.85</v>
      </c>
      <c r="F622" s="3" t="n">
        <v>33.01</v>
      </c>
      <c r="G622" s="3" t="n">
        <v>12.69</v>
      </c>
      <c r="H622" s="3" t="n">
        <v>14.47</v>
      </c>
      <c r="I622" s="3" t="n">
        <v>3.45</v>
      </c>
      <c r="J622" s="3" t="n">
        <v>124.06</v>
      </c>
    </row>
    <row r="623">
      <c r="A623" s="8" t="n">
        <v>45338</v>
      </c>
      <c r="B623" s="3" t="n">
        <v>23.43</v>
      </c>
      <c r="C623" s="3" t="n">
        <v>33.4</v>
      </c>
      <c r="D623" s="3" t="n">
        <v>67.68000000000001</v>
      </c>
      <c r="E623" s="3" t="n">
        <v>12.76</v>
      </c>
      <c r="F623" s="3" t="n">
        <v>32.66</v>
      </c>
      <c r="G623" s="3" t="n">
        <v>12.73</v>
      </c>
      <c r="H623" s="3" t="n">
        <v>14.4</v>
      </c>
      <c r="I623" s="3" t="n">
        <v>3.48</v>
      </c>
      <c r="J623" s="3" t="n">
        <v>124.88</v>
      </c>
    </row>
    <row r="624">
      <c r="A624" s="8" t="n">
        <v>45341</v>
      </c>
      <c r="B624" s="3" t="n">
        <v>23.24</v>
      </c>
      <c r="C624" s="3" t="n">
        <v>33.49</v>
      </c>
      <c r="D624" s="3" t="n">
        <v>67.48999999999999</v>
      </c>
      <c r="E624" s="3" t="n">
        <v>12.81</v>
      </c>
      <c r="F624" s="3" t="n">
        <v>32.77</v>
      </c>
      <c r="G624" s="3" t="n">
        <v>12.69</v>
      </c>
      <c r="H624" s="3" t="n">
        <v>14.59</v>
      </c>
      <c r="I624" s="3" t="n">
        <v>3.49</v>
      </c>
      <c r="J624" s="3" t="n">
        <v>125.14</v>
      </c>
    </row>
    <row r="625">
      <c r="A625" s="8" t="n">
        <v>45342</v>
      </c>
      <c r="B625" s="3" t="n">
        <v>23.35</v>
      </c>
      <c r="C625" s="3" t="n">
        <v>34.27</v>
      </c>
      <c r="D625" s="3" t="n">
        <v>66.01000000000001</v>
      </c>
      <c r="E625" s="3" t="n">
        <v>12.85</v>
      </c>
      <c r="F625" s="3" t="n">
        <v>33.11</v>
      </c>
      <c r="G625" s="3" t="n">
        <v>12.94</v>
      </c>
      <c r="H625" s="3" t="n">
        <v>14.75</v>
      </c>
      <c r="I625" s="3" t="n">
        <v>3.55</v>
      </c>
      <c r="J625" s="3" t="n">
        <v>126.19</v>
      </c>
    </row>
    <row r="626">
      <c r="A626" s="8" t="n">
        <v>45343</v>
      </c>
      <c r="B626" s="3" t="n">
        <v>22.99</v>
      </c>
      <c r="C626" s="3" t="n">
        <v>36.63</v>
      </c>
      <c r="D626" s="3" t="n">
        <v>66.51000000000001</v>
      </c>
      <c r="E626" s="3" t="n">
        <v>12.9</v>
      </c>
      <c r="F626" s="3" t="n">
        <v>32.9</v>
      </c>
      <c r="G626" s="3" t="n">
        <v>12.81</v>
      </c>
      <c r="H626" s="3" t="n">
        <v>14.74</v>
      </c>
      <c r="I626" s="3" t="n">
        <v>3.39</v>
      </c>
      <c r="J626" s="3" t="n">
        <v>126.18</v>
      </c>
    </row>
    <row r="627">
      <c r="A627" s="8" t="n">
        <v>45344</v>
      </c>
      <c r="B627" s="3" t="n">
        <v>22.89</v>
      </c>
      <c r="C627" s="3" t="n">
        <v>35.47</v>
      </c>
      <c r="D627" s="3" t="n">
        <v>67.22</v>
      </c>
      <c r="E627" s="3" t="n">
        <v>12.96</v>
      </c>
      <c r="F627" s="3" t="n">
        <v>33.36</v>
      </c>
      <c r="G627" s="3" t="n">
        <v>12.65</v>
      </c>
      <c r="H627" s="3" t="n">
        <v>15.13</v>
      </c>
      <c r="I627" s="3" t="n">
        <v>3.58</v>
      </c>
      <c r="J627" s="3" t="n">
        <v>126.3</v>
      </c>
    </row>
    <row r="628">
      <c r="A628" s="8" t="n">
        <v>45345</v>
      </c>
      <c r="B628" s="3" t="n">
        <v>22.81</v>
      </c>
      <c r="C628" s="3" t="n">
        <v>35.98</v>
      </c>
      <c r="D628" s="3" t="n">
        <v>67.38</v>
      </c>
      <c r="E628" s="3" t="n">
        <v>12.89</v>
      </c>
      <c r="F628" s="3" t="n">
        <v>33.05</v>
      </c>
      <c r="G628" s="3" t="n">
        <v>12.45</v>
      </c>
      <c r="H628" s="3" t="n">
        <v>15.26</v>
      </c>
      <c r="I628" s="3" t="n">
        <v>3.59</v>
      </c>
      <c r="J628" s="3" t="n">
        <v>125.61</v>
      </c>
    </row>
    <row r="629">
      <c r="A629" s="8" t="n">
        <v>45348</v>
      </c>
      <c r="B629" s="3" t="n">
        <v>22.73</v>
      </c>
      <c r="C629" s="3" t="n">
        <v>36.57</v>
      </c>
      <c r="D629" s="3" t="n">
        <v>65.75</v>
      </c>
      <c r="E629" s="3" t="n">
        <v>13.04</v>
      </c>
      <c r="F629" s="3" t="n">
        <v>33.07</v>
      </c>
      <c r="G629" s="3" t="n">
        <v>12.48</v>
      </c>
      <c r="H629" s="3" t="n">
        <v>15.28</v>
      </c>
      <c r="I629" s="3" t="n">
        <v>3.58</v>
      </c>
      <c r="J629" s="3" t="n">
        <v>125.77</v>
      </c>
    </row>
    <row r="630">
      <c r="A630" s="8" t="n">
        <v>45349</v>
      </c>
      <c r="B630" s="3" t="n">
        <v>23.05</v>
      </c>
      <c r="C630" s="3" t="n">
        <v>36.96</v>
      </c>
      <c r="D630" s="3" t="n">
        <v>67.48</v>
      </c>
      <c r="E630" s="3" t="n">
        <v>13.31</v>
      </c>
      <c r="F630" s="3" t="n">
        <v>33.21</v>
      </c>
      <c r="G630" s="3" t="n">
        <v>12.75</v>
      </c>
      <c r="H630" s="3" t="n">
        <v>16.15</v>
      </c>
      <c r="I630" s="3" t="n">
        <v>3.75</v>
      </c>
      <c r="J630" s="3" t="n">
        <v>127.84</v>
      </c>
    </row>
    <row r="631">
      <c r="A631" s="8" t="n">
        <v>45350</v>
      </c>
      <c r="B631" s="3" t="n">
        <v>22.88</v>
      </c>
      <c r="C631" s="3" t="n">
        <v>36.91</v>
      </c>
      <c r="D631" s="3" t="n">
        <v>66.73999999999999</v>
      </c>
      <c r="E631" s="3" t="n">
        <v>13.45</v>
      </c>
      <c r="F631" s="3" t="n">
        <v>33.55</v>
      </c>
      <c r="G631" s="3" t="n">
        <v>12.58</v>
      </c>
      <c r="H631" s="3" t="n">
        <v>15.7</v>
      </c>
      <c r="I631" s="3" t="n">
        <v>3.79</v>
      </c>
      <c r="J631" s="3" t="n">
        <v>126.26</v>
      </c>
    </row>
    <row r="632">
      <c r="A632" s="8" t="n">
        <v>45351</v>
      </c>
      <c r="B632" s="3" t="n">
        <v>22.72</v>
      </c>
      <c r="C632" s="3" t="n">
        <v>36.69</v>
      </c>
      <c r="D632" s="3" t="n">
        <v>66.98999999999999</v>
      </c>
      <c r="E632" s="3" t="n">
        <v>12.58</v>
      </c>
      <c r="F632" s="3" t="n">
        <v>33.34</v>
      </c>
      <c r="G632" s="3" t="n">
        <v>12.83</v>
      </c>
      <c r="H632" s="3" t="n">
        <v>15.8</v>
      </c>
      <c r="I632" s="3" t="n">
        <v>3.67</v>
      </c>
      <c r="J632" s="3" t="n">
        <v>125.25</v>
      </c>
    </row>
    <row r="633">
      <c r="A633" s="8" t="n">
        <v>45352</v>
      </c>
      <c r="B633" s="3" t="n">
        <v>22.26</v>
      </c>
      <c r="C633" s="3" t="n">
        <v>37.29</v>
      </c>
      <c r="D633" s="3" t="n">
        <v>66.88</v>
      </c>
      <c r="E633" s="3" t="n">
        <v>12.44</v>
      </c>
      <c r="F633" s="3" t="n">
        <v>32.92</v>
      </c>
      <c r="G633" s="3" t="n">
        <v>12.42</v>
      </c>
      <c r="H633" s="3" t="n">
        <v>16.63</v>
      </c>
      <c r="I633" s="3" t="n">
        <v>3.72</v>
      </c>
      <c r="J633" s="3" t="n">
        <v>125.24</v>
      </c>
    </row>
    <row r="634">
      <c r="A634" s="8" t="n">
        <v>45355</v>
      </c>
      <c r="B634" s="3" t="n">
        <v>22.1</v>
      </c>
      <c r="C634" s="3" t="n">
        <v>37.14</v>
      </c>
      <c r="D634" s="3" t="n">
        <v>66.73</v>
      </c>
      <c r="E634" s="3" t="n">
        <v>12.48</v>
      </c>
      <c r="F634" s="3" t="n">
        <v>32.91</v>
      </c>
      <c r="G634" s="3" t="n">
        <v>12.3</v>
      </c>
      <c r="H634" s="3" t="n">
        <v>16.17</v>
      </c>
      <c r="I634" s="3" t="n">
        <v>3.6</v>
      </c>
      <c r="J634" s="3" t="n">
        <v>124.5</v>
      </c>
    </row>
    <row r="635">
      <c r="A635" s="8" t="n">
        <v>45356</v>
      </c>
      <c r="B635" s="3" t="n">
        <v>22.06</v>
      </c>
      <c r="C635" s="3" t="n">
        <v>37.43</v>
      </c>
      <c r="D635" s="3" t="n">
        <v>65.84999999999999</v>
      </c>
      <c r="E635" s="3" t="n">
        <v>12.75</v>
      </c>
      <c r="F635" s="3" t="n">
        <v>32.86</v>
      </c>
      <c r="G635" s="3" t="n">
        <v>12.19</v>
      </c>
      <c r="H635" s="3" t="n">
        <v>16.34</v>
      </c>
      <c r="I635" s="3" t="n">
        <v>3.75</v>
      </c>
      <c r="J635" s="3" t="n">
        <v>124.4</v>
      </c>
    </row>
    <row r="636">
      <c r="A636" s="8" t="n">
        <v>45357</v>
      </c>
      <c r="B636" s="3" t="n">
        <v>22.35</v>
      </c>
      <c r="C636" s="3" t="n">
        <v>37.13</v>
      </c>
      <c r="D636" s="3" t="n">
        <v>66.75</v>
      </c>
      <c r="E636" s="3" t="n">
        <v>12.69</v>
      </c>
      <c r="F636" s="3" t="n">
        <v>32.7</v>
      </c>
      <c r="G636" s="3" t="n">
        <v>12.25</v>
      </c>
      <c r="H636" s="3" t="n">
        <v>16.05</v>
      </c>
      <c r="I636" s="3" t="n">
        <v>3.78</v>
      </c>
      <c r="J636" s="3" t="n">
        <v>125.15</v>
      </c>
    </row>
    <row r="637">
      <c r="A637" s="8" t="n">
        <v>45358</v>
      </c>
      <c r="B637" s="3" t="n">
        <v>22.12</v>
      </c>
      <c r="C637" s="3" t="n">
        <v>36.9</v>
      </c>
      <c r="D637" s="3" t="n">
        <v>66.52</v>
      </c>
      <c r="E637" s="3" t="n">
        <v>12.65</v>
      </c>
      <c r="F637" s="3" t="n">
        <v>32.9</v>
      </c>
      <c r="G637" s="3" t="n">
        <v>12.32</v>
      </c>
      <c r="H637" s="3" t="n">
        <v>16.24</v>
      </c>
      <c r="I637" s="3" t="n">
        <v>3.81</v>
      </c>
      <c r="J637" s="3" t="n">
        <v>124.67</v>
      </c>
    </row>
    <row r="638">
      <c r="A638" s="8" t="n">
        <v>45359</v>
      </c>
      <c r="B638" s="3" t="n">
        <v>22.21</v>
      </c>
      <c r="C638" s="3" t="n">
        <v>36.92</v>
      </c>
      <c r="D638" s="3" t="n">
        <v>66.01000000000001</v>
      </c>
      <c r="E638" s="3" t="n">
        <v>12.84</v>
      </c>
      <c r="F638" s="3" t="n">
        <v>32.79</v>
      </c>
      <c r="G638" s="3" t="n">
        <v>12.46</v>
      </c>
      <c r="H638" s="3" t="n">
        <v>16.23</v>
      </c>
      <c r="I638" s="3" t="n">
        <v>3.88</v>
      </c>
      <c r="J638" s="3" t="n">
        <v>123.26</v>
      </c>
    </row>
    <row r="639">
      <c r="A639" s="8" t="n">
        <v>45362</v>
      </c>
      <c r="B639" s="3" t="n">
        <v>22.2</v>
      </c>
      <c r="C639" s="3" t="n">
        <v>37.16</v>
      </c>
      <c r="D639" s="3" t="n">
        <v>63.96</v>
      </c>
      <c r="E639" s="3" t="n">
        <v>12.8</v>
      </c>
      <c r="F639" s="3" t="n">
        <v>32.83</v>
      </c>
      <c r="G639" s="3" t="n">
        <v>12.58</v>
      </c>
      <c r="H639" s="3" t="n">
        <v>15.94</v>
      </c>
      <c r="I639" s="3" t="n">
        <v>3.85</v>
      </c>
      <c r="J639" s="3" t="n">
        <v>122.32</v>
      </c>
    </row>
    <row r="640">
      <c r="A640" s="8" t="n">
        <v>45363</v>
      </c>
      <c r="B640" s="3" t="n">
        <v>22.31</v>
      </c>
      <c r="C640" s="3" t="n">
        <v>37.61</v>
      </c>
      <c r="D640" s="3" t="n">
        <v>60.84</v>
      </c>
      <c r="E640" s="3" t="n">
        <v>12.84</v>
      </c>
      <c r="F640" s="3" t="n">
        <v>32.94</v>
      </c>
      <c r="G640" s="3" t="n">
        <v>12.82</v>
      </c>
      <c r="H640" s="3" t="n">
        <v>16.54</v>
      </c>
      <c r="I640" s="3" t="n">
        <v>3.92</v>
      </c>
      <c r="J640" s="3" t="n">
        <v>123.81</v>
      </c>
    </row>
    <row r="641">
      <c r="A641" s="8" t="n">
        <v>45364</v>
      </c>
      <c r="B641" s="3" t="n">
        <v>22.17</v>
      </c>
      <c r="C641" s="3" t="n">
        <v>38.02</v>
      </c>
      <c r="D641" s="3" t="n">
        <v>61.23</v>
      </c>
      <c r="E641" s="3" t="n">
        <v>12.75</v>
      </c>
      <c r="F641" s="3" t="n">
        <v>32.88</v>
      </c>
      <c r="G641" s="3" t="n">
        <v>12.76</v>
      </c>
      <c r="H641" s="3" t="n">
        <v>16.91</v>
      </c>
      <c r="I641" s="3" t="n">
        <v>3.89</v>
      </c>
      <c r="J641" s="3" t="n">
        <v>124.37</v>
      </c>
    </row>
    <row r="642">
      <c r="A642" s="8" t="n">
        <v>45365</v>
      </c>
      <c r="B642" s="3" t="n">
        <v>22.2</v>
      </c>
      <c r="C642" s="3" t="n">
        <v>37.79</v>
      </c>
      <c r="D642" s="3" t="n">
        <v>60.45</v>
      </c>
      <c r="E642" s="3" t="n">
        <v>12.8</v>
      </c>
      <c r="F642" s="3" t="n">
        <v>33.11</v>
      </c>
      <c r="G642" s="3" t="n">
        <v>12.51</v>
      </c>
      <c r="H642" s="3" t="n">
        <v>16.51</v>
      </c>
      <c r="I642" s="3" t="n">
        <v>3.85</v>
      </c>
      <c r="J642" s="3" t="n">
        <v>123.82</v>
      </c>
    </row>
    <row r="643">
      <c r="A643" s="8" t="n">
        <v>45366</v>
      </c>
      <c r="B643" s="3" t="n">
        <v>22.06</v>
      </c>
      <c r="C643" s="3" t="n">
        <v>38</v>
      </c>
      <c r="D643" s="3" t="n">
        <v>59.76</v>
      </c>
      <c r="E643" s="3" t="n">
        <v>12.63</v>
      </c>
      <c r="F643" s="3" t="n">
        <v>33.27</v>
      </c>
      <c r="G643" s="3" t="n">
        <v>12.33</v>
      </c>
      <c r="H643" s="3" t="n">
        <v>15.4</v>
      </c>
      <c r="I643" s="3" t="n">
        <v>3.82</v>
      </c>
      <c r="J643" s="3" t="n">
        <v>122.87</v>
      </c>
    </row>
    <row r="644">
      <c r="A644" s="8" t="n">
        <v>45369</v>
      </c>
      <c r="B644" s="3" t="n">
        <v>22.05</v>
      </c>
      <c r="C644" s="3" t="n">
        <v>38</v>
      </c>
      <c r="D644" s="3" t="n">
        <v>60.9</v>
      </c>
      <c r="E644" s="3" t="n">
        <v>12.63</v>
      </c>
      <c r="F644" s="3" t="n">
        <v>33.26</v>
      </c>
      <c r="G644" s="3" t="n">
        <v>12.36</v>
      </c>
      <c r="H644" s="3" t="n">
        <v>15.51</v>
      </c>
      <c r="I644" s="3" t="n">
        <v>3.86</v>
      </c>
      <c r="J644" s="3" t="n">
        <v>123.05</v>
      </c>
    </row>
    <row r="645">
      <c r="A645" s="8" t="n">
        <v>45370</v>
      </c>
      <c r="B645" s="3" t="n">
        <v>22.02</v>
      </c>
      <c r="C645" s="3" t="n">
        <v>38.76</v>
      </c>
      <c r="D645" s="3" t="n">
        <v>61.4</v>
      </c>
      <c r="E645" s="3" t="n">
        <v>12.54</v>
      </c>
      <c r="F645" s="3" t="n">
        <v>32.89</v>
      </c>
      <c r="G645" s="3" t="n">
        <v>12.31</v>
      </c>
      <c r="H645" s="3" t="n">
        <v>15.61</v>
      </c>
      <c r="I645" s="3" t="n">
        <v>3.83</v>
      </c>
      <c r="J645" s="3" t="n">
        <v>123.73</v>
      </c>
    </row>
    <row r="646">
      <c r="A646" s="8" t="n">
        <v>45371</v>
      </c>
      <c r="B646" s="3" t="n">
        <v>22.1</v>
      </c>
      <c r="C646" s="3" t="n">
        <v>38.83</v>
      </c>
      <c r="D646" s="3" t="n">
        <v>61.81</v>
      </c>
      <c r="E646" s="3" t="n">
        <v>12.54</v>
      </c>
      <c r="F646" s="3" t="n">
        <v>32.86</v>
      </c>
      <c r="G646" s="3" t="n">
        <v>12.75</v>
      </c>
      <c r="H646" s="3" t="n">
        <v>16.19</v>
      </c>
      <c r="I646" s="3" t="n">
        <v>3.97</v>
      </c>
      <c r="J646" s="3" t="n">
        <v>125.45</v>
      </c>
    </row>
    <row r="647">
      <c r="A647" s="8" t="n">
        <v>45372</v>
      </c>
      <c r="B647" s="3" t="n">
        <v>22.2</v>
      </c>
      <c r="C647" s="3" t="n">
        <v>39.43</v>
      </c>
      <c r="D647" s="3" t="n">
        <v>61.66</v>
      </c>
      <c r="E647" s="3" t="n">
        <v>12.61</v>
      </c>
      <c r="F647" s="3" t="n">
        <v>32.11</v>
      </c>
      <c r="G647" s="3" t="n">
        <v>12.4</v>
      </c>
      <c r="H647" s="3" t="n">
        <v>15.88</v>
      </c>
      <c r="I647" s="3" t="n">
        <v>3.9</v>
      </c>
      <c r="J647" s="3" t="n">
        <v>124.37</v>
      </c>
    </row>
    <row r="648">
      <c r="A648" s="8" t="n">
        <v>45373</v>
      </c>
      <c r="B648" s="3" t="n">
        <v>21.87</v>
      </c>
      <c r="C648" s="3" t="n">
        <v>39.74</v>
      </c>
      <c r="D648" s="3" t="n">
        <v>60.95</v>
      </c>
      <c r="E648" s="3" t="n">
        <v>12.41</v>
      </c>
      <c r="F648" s="3" t="n">
        <v>32.34</v>
      </c>
      <c r="G648" s="3" t="n">
        <v>12</v>
      </c>
      <c r="H648" s="3" t="n">
        <v>15.64</v>
      </c>
      <c r="I648" s="3" t="n">
        <v>3.88</v>
      </c>
      <c r="J648" s="3" t="n">
        <v>123.21</v>
      </c>
    </row>
    <row r="649">
      <c r="A649" s="8" t="n">
        <v>45376</v>
      </c>
      <c r="B649" s="3" t="n">
        <v>21.84</v>
      </c>
      <c r="C649" s="3" t="n">
        <v>39.04</v>
      </c>
      <c r="D649" s="3" t="n">
        <v>60.82</v>
      </c>
      <c r="E649" s="3" t="n">
        <v>12.23</v>
      </c>
      <c r="F649" s="3" t="n">
        <v>31.95</v>
      </c>
      <c r="G649" s="3" t="n">
        <v>11.9</v>
      </c>
      <c r="H649" s="3" t="n">
        <v>15.69</v>
      </c>
      <c r="I649" s="3" t="n">
        <v>3.85</v>
      </c>
      <c r="J649" s="3" t="n">
        <v>123.19</v>
      </c>
    </row>
    <row r="650">
      <c r="A650" s="8" t="n">
        <v>45377</v>
      </c>
      <c r="B650" s="3" t="n">
        <v>22.07</v>
      </c>
      <c r="C650" s="3" t="n">
        <v>38.78</v>
      </c>
      <c r="D650" s="3" t="n">
        <v>60.05</v>
      </c>
      <c r="E650" s="3" t="n">
        <v>12.41</v>
      </c>
      <c r="F650" s="3" t="n">
        <v>32.12</v>
      </c>
      <c r="G650" s="3" t="n">
        <v>11.9</v>
      </c>
      <c r="H650" s="3" t="n">
        <v>15.5</v>
      </c>
      <c r="I650" s="3" t="n">
        <v>3.79</v>
      </c>
      <c r="J650" s="3" t="n">
        <v>123.24</v>
      </c>
    </row>
    <row r="651">
      <c r="A651" s="8" t="n">
        <v>45378</v>
      </c>
      <c r="B651" s="3" t="n">
        <v>22.47</v>
      </c>
      <c r="C651" s="3" t="n">
        <v>38.55</v>
      </c>
      <c r="D651" s="3" t="n">
        <v>60.6</v>
      </c>
      <c r="E651" s="3" t="n">
        <v>12.45</v>
      </c>
      <c r="F651" s="3" t="n">
        <v>32.71</v>
      </c>
      <c r="G651" s="3" t="n">
        <v>12.02</v>
      </c>
      <c r="H651" s="3" t="n">
        <v>16.34</v>
      </c>
      <c r="I651" s="3" t="n">
        <v>3.76</v>
      </c>
      <c r="J651" s="3" t="n">
        <v>124.05</v>
      </c>
    </row>
    <row r="652">
      <c r="A652" s="8" t="n">
        <v>45379</v>
      </c>
      <c r="B652" s="3" t="n">
        <v>22.26</v>
      </c>
      <c r="C652" s="3" t="n">
        <v>38.2</v>
      </c>
      <c r="D652" s="3" t="n">
        <v>60.83</v>
      </c>
      <c r="E652" s="3" t="n">
        <v>12.49</v>
      </c>
      <c r="F652" s="3" t="n">
        <v>32.52</v>
      </c>
      <c r="G652" s="3" t="n">
        <v>11.99</v>
      </c>
      <c r="H652" s="3" t="n">
        <v>16.98</v>
      </c>
      <c r="I652" s="3" t="n">
        <v>3.7</v>
      </c>
      <c r="J652" s="3" t="n">
        <v>124.33</v>
      </c>
    </row>
    <row r="653">
      <c r="A653" s="8" t="n">
        <v>45383</v>
      </c>
      <c r="B653" s="3" t="n">
        <v>22.05</v>
      </c>
      <c r="C653" s="3" t="n">
        <v>37.99</v>
      </c>
      <c r="D653" s="3" t="n">
        <v>61.22</v>
      </c>
      <c r="E653" s="3" t="n">
        <v>12.33</v>
      </c>
      <c r="F653" s="3" t="n">
        <v>32.68</v>
      </c>
      <c r="G653" s="3" t="n">
        <v>11.77</v>
      </c>
      <c r="H653" s="3" t="n">
        <v>16.84</v>
      </c>
      <c r="I653" s="3" t="n">
        <v>3.94</v>
      </c>
      <c r="J653" s="3" t="n">
        <v>123.29</v>
      </c>
    </row>
    <row r="654">
      <c r="A654" s="8" t="n">
        <v>45384</v>
      </c>
      <c r="B654" s="3" t="n">
        <v>22.52</v>
      </c>
      <c r="C654" s="3" t="n">
        <v>38.17</v>
      </c>
      <c r="D654" s="3" t="n">
        <v>61.94</v>
      </c>
      <c r="E654" s="3" t="n">
        <v>12.27</v>
      </c>
      <c r="F654" s="3" t="n">
        <v>32.67</v>
      </c>
      <c r="G654" s="3" t="n">
        <v>11.73</v>
      </c>
      <c r="H654" s="3" t="n">
        <v>17.48</v>
      </c>
      <c r="I654" s="3" t="n">
        <v>3.89</v>
      </c>
      <c r="J654" s="3" t="n">
        <v>123.74</v>
      </c>
    </row>
    <row r="655">
      <c r="A655" s="8" t="n">
        <v>45385</v>
      </c>
      <c r="B655" s="3" t="n">
        <v>22.3</v>
      </c>
      <c r="C655" s="3" t="n">
        <v>37.89</v>
      </c>
      <c r="D655" s="3" t="n">
        <v>61.05</v>
      </c>
      <c r="E655" s="3" t="n">
        <v>12.45</v>
      </c>
      <c r="F655" s="3" t="n">
        <v>32.44</v>
      </c>
      <c r="G655" s="3" t="n">
        <v>11.7</v>
      </c>
      <c r="H655" s="3" t="n">
        <v>17.03</v>
      </c>
      <c r="I655" s="3" t="n">
        <v>3.9</v>
      </c>
      <c r="J655" s="3" t="n">
        <v>123.54</v>
      </c>
    </row>
    <row r="656">
      <c r="A656" s="8" t="n">
        <v>45386</v>
      </c>
      <c r="B656" s="3" t="n">
        <v>22.42</v>
      </c>
      <c r="C656" s="3" t="n">
        <v>38.1</v>
      </c>
      <c r="D656" s="3" t="n">
        <v>60.37</v>
      </c>
      <c r="E656" s="3" t="n">
        <v>12.47</v>
      </c>
      <c r="F656" s="3" t="n">
        <v>32.66</v>
      </c>
      <c r="G656" s="3" t="n">
        <v>11.96</v>
      </c>
      <c r="H656" s="3" t="n">
        <v>17.4</v>
      </c>
      <c r="I656" s="3" t="n">
        <v>4.01</v>
      </c>
      <c r="J656" s="3" t="n">
        <v>123.68</v>
      </c>
    </row>
    <row r="657">
      <c r="A657" s="8" t="n">
        <v>45387</v>
      </c>
      <c r="B657" s="3" t="n">
        <v>22.45</v>
      </c>
      <c r="C657" s="3" t="n">
        <v>37.99</v>
      </c>
      <c r="D657" s="3" t="n">
        <v>59.71</v>
      </c>
      <c r="E657" s="3" t="n">
        <v>12.23</v>
      </c>
      <c r="F657" s="3" t="n">
        <v>32.96</v>
      </c>
      <c r="G657" s="3" t="n">
        <v>12</v>
      </c>
      <c r="H657" s="3" t="n">
        <v>16.94</v>
      </c>
      <c r="I657" s="3" t="n">
        <v>3.97</v>
      </c>
      <c r="J657" s="3" t="n">
        <v>122.9</v>
      </c>
    </row>
    <row r="658">
      <c r="A658" s="8" t="n">
        <v>45390</v>
      </c>
      <c r="B658" s="3" t="n">
        <v>22.8</v>
      </c>
      <c r="C658" s="3" t="n">
        <v>38.2</v>
      </c>
      <c r="D658" s="3" t="n">
        <v>62.97</v>
      </c>
      <c r="E658" s="3" t="n">
        <v>12.17</v>
      </c>
      <c r="F658" s="3" t="n">
        <v>33.18</v>
      </c>
      <c r="G658" s="3" t="n">
        <v>12.13</v>
      </c>
      <c r="H658" s="3" t="n">
        <v>17.15</v>
      </c>
      <c r="I658" s="3" t="n">
        <v>4.01</v>
      </c>
      <c r="J658" s="3" t="n">
        <v>125.13</v>
      </c>
    </row>
    <row r="659">
      <c r="A659" s="8" t="n">
        <v>45391</v>
      </c>
      <c r="B659" s="3" t="n">
        <v>23.27</v>
      </c>
      <c r="C659" s="3" t="n">
        <v>38.8</v>
      </c>
      <c r="D659" s="3" t="n">
        <v>62.55</v>
      </c>
      <c r="E659" s="3" t="n">
        <v>12.36</v>
      </c>
      <c r="F659" s="3" t="n">
        <v>33.42</v>
      </c>
      <c r="G659" s="3" t="n">
        <v>12.39</v>
      </c>
      <c r="H659" s="3" t="n">
        <v>17.29</v>
      </c>
      <c r="I659" s="3" t="n">
        <v>4.07</v>
      </c>
      <c r="J659" s="3" t="n">
        <v>126.21</v>
      </c>
    </row>
    <row r="660">
      <c r="A660" s="8" t="n">
        <v>45392</v>
      </c>
      <c r="B660" s="3" t="n">
        <v>22.7</v>
      </c>
      <c r="C660" s="3" t="n">
        <v>38.4</v>
      </c>
      <c r="D660" s="3" t="n">
        <v>61.6</v>
      </c>
      <c r="E660" s="3" t="n">
        <v>12.1</v>
      </c>
      <c r="F660" s="3" t="n">
        <v>33.07</v>
      </c>
      <c r="G660" s="3" t="n">
        <v>11.96</v>
      </c>
      <c r="H660" s="3" t="n">
        <v>16.37</v>
      </c>
      <c r="I660" s="3" t="n">
        <v>3.94</v>
      </c>
      <c r="J660" s="3" t="n">
        <v>124.15</v>
      </c>
    </row>
    <row r="661">
      <c r="A661" s="8" t="n">
        <v>45393</v>
      </c>
      <c r="B661" s="3" t="n">
        <v>22.72</v>
      </c>
      <c r="C661" s="3" t="n">
        <v>38.24</v>
      </c>
      <c r="D661" s="3" t="n">
        <v>61.86</v>
      </c>
      <c r="E661" s="3" t="n">
        <v>12.2</v>
      </c>
      <c r="F661" s="3" t="n">
        <v>33.38</v>
      </c>
      <c r="G661" s="3" t="n">
        <v>11.98</v>
      </c>
      <c r="H661" s="3" t="n">
        <v>16.69</v>
      </c>
      <c r="I661" s="3" t="n">
        <v>3.96</v>
      </c>
      <c r="J661" s="3" t="n">
        <v>123.72</v>
      </c>
    </row>
    <row r="662">
      <c r="A662" s="8" t="n">
        <v>45394</v>
      </c>
      <c r="B662" s="3" t="n">
        <v>22.3</v>
      </c>
      <c r="C662" s="3" t="n">
        <v>37.98</v>
      </c>
      <c r="D662" s="3" t="n">
        <v>61.63</v>
      </c>
      <c r="E662" s="3" t="n">
        <v>12.12</v>
      </c>
      <c r="F662" s="3" t="n">
        <v>32.97</v>
      </c>
      <c r="G662" s="3" t="n">
        <v>11.71</v>
      </c>
      <c r="H662" s="3" t="n">
        <v>16.06</v>
      </c>
      <c r="I662" s="3" t="n">
        <v>3.88</v>
      </c>
      <c r="J662" s="3" t="n">
        <v>122.12</v>
      </c>
    </row>
    <row r="663">
      <c r="A663" s="8" t="n">
        <v>45397</v>
      </c>
      <c r="B663" s="3" t="n">
        <v>21.67</v>
      </c>
      <c r="C663" s="3" t="n">
        <v>37.64</v>
      </c>
      <c r="D663" s="3" t="n">
        <v>61.99</v>
      </c>
      <c r="E663" s="3" t="n">
        <v>12.07</v>
      </c>
      <c r="F663" s="3" t="n">
        <v>33.01</v>
      </c>
      <c r="G663" s="3" t="n">
        <v>11.48</v>
      </c>
      <c r="H663" s="3" t="n">
        <v>15.86</v>
      </c>
      <c r="I663" s="3" t="n">
        <v>3.73</v>
      </c>
      <c r="J663" s="3" t="n">
        <v>121.55</v>
      </c>
    </row>
    <row r="664">
      <c r="A664" s="8" t="n">
        <v>45398</v>
      </c>
      <c r="B664" s="3" t="n">
        <v>21.38</v>
      </c>
      <c r="C664" s="3" t="n">
        <v>38.77</v>
      </c>
      <c r="D664" s="3" t="n">
        <v>61.44</v>
      </c>
      <c r="E664" s="3" t="n">
        <v>11.94</v>
      </c>
      <c r="F664" s="3" t="n">
        <v>32.83</v>
      </c>
      <c r="G664" s="3" t="n">
        <v>11.33</v>
      </c>
      <c r="H664" s="3" t="n">
        <v>16.08</v>
      </c>
      <c r="I664" s="3" t="n">
        <v>3.6</v>
      </c>
      <c r="J664" s="3" t="n">
        <v>120.85</v>
      </c>
    </row>
    <row r="665">
      <c r="A665" s="8" t="n">
        <v>45399</v>
      </c>
      <c r="B665" s="3" t="n">
        <v>21.12</v>
      </c>
      <c r="C665" s="3" t="n">
        <v>38.22</v>
      </c>
      <c r="D665" s="3" t="n">
        <v>62.11</v>
      </c>
      <c r="E665" s="3" t="n">
        <v>11.91</v>
      </c>
      <c r="F665" s="3" t="n">
        <v>32.97</v>
      </c>
      <c r="G665" s="3" t="n">
        <v>11.24</v>
      </c>
      <c r="H665" s="3" t="n">
        <v>15.66</v>
      </c>
      <c r="I665" s="3" t="n">
        <v>3.54</v>
      </c>
      <c r="J665" s="3" t="n">
        <v>120.54</v>
      </c>
    </row>
    <row r="666">
      <c r="A666" s="8" t="n">
        <v>45400</v>
      </c>
      <c r="B666" s="3" t="n">
        <v>21.1</v>
      </c>
      <c r="C666" s="3" t="n">
        <v>38.6</v>
      </c>
      <c r="D666" s="3" t="n">
        <v>62.34</v>
      </c>
      <c r="E666" s="3" t="n">
        <v>11.96</v>
      </c>
      <c r="F666" s="3" t="n">
        <v>32.65</v>
      </c>
      <c r="G666" s="3" t="n">
        <v>11.14</v>
      </c>
      <c r="H666" s="3" t="n">
        <v>15.41</v>
      </c>
      <c r="I666" s="3" t="n">
        <v>3.5</v>
      </c>
      <c r="J666" s="3" t="n">
        <v>120.48</v>
      </c>
    </row>
    <row r="667">
      <c r="A667" s="8" t="n">
        <v>45401</v>
      </c>
      <c r="B667" s="3" t="n">
        <v>21.25</v>
      </c>
      <c r="C667" s="3" t="n">
        <v>38.55</v>
      </c>
      <c r="D667" s="3" t="n">
        <v>63.36</v>
      </c>
      <c r="E667" s="3" t="n">
        <v>11.95</v>
      </c>
      <c r="F667" s="3" t="n">
        <v>32.96</v>
      </c>
      <c r="G667" s="3" t="n">
        <v>11.18</v>
      </c>
      <c r="H667" s="3" t="n">
        <v>15.65</v>
      </c>
      <c r="I667" s="3" t="n">
        <v>3.6</v>
      </c>
      <c r="J667" s="3" t="n">
        <v>121.52</v>
      </c>
    </row>
    <row r="668">
      <c r="A668" s="8" t="n">
        <v>45404</v>
      </c>
      <c r="B668" s="3" t="n">
        <v>21.09</v>
      </c>
      <c r="C668" s="3" t="n">
        <v>38.27</v>
      </c>
      <c r="D668" s="3" t="n">
        <v>63.33</v>
      </c>
      <c r="E668" s="3" t="n">
        <v>11.95</v>
      </c>
      <c r="F668" s="3" t="n">
        <v>32.94</v>
      </c>
      <c r="G668" s="3" t="n">
        <v>11.27</v>
      </c>
      <c r="H668" s="3" t="n">
        <v>15.59</v>
      </c>
      <c r="I668" s="3" t="n">
        <v>3.64</v>
      </c>
      <c r="J668" s="3" t="n">
        <v>121.8</v>
      </c>
    </row>
    <row r="669">
      <c r="A669" s="8" t="n">
        <v>45405</v>
      </c>
      <c r="B669" s="3" t="n">
        <v>21.09</v>
      </c>
      <c r="C669" s="3" t="n">
        <v>37.99</v>
      </c>
      <c r="D669" s="3" t="n">
        <v>62.78</v>
      </c>
      <c r="E669" s="3" t="n">
        <v>11.86</v>
      </c>
      <c r="F669" s="3" t="n">
        <v>32.5</v>
      </c>
      <c r="G669" s="3" t="n">
        <v>11.09</v>
      </c>
      <c r="H669" s="3" t="n">
        <v>15.56</v>
      </c>
      <c r="I669" s="3" t="n">
        <v>3.61</v>
      </c>
      <c r="J669" s="3" t="n">
        <v>121.41</v>
      </c>
    </row>
    <row r="670">
      <c r="A670" s="8" t="n">
        <v>45406</v>
      </c>
      <c r="B670" s="3" t="n">
        <v>20.65</v>
      </c>
      <c r="C670" s="3" t="n">
        <v>38.23</v>
      </c>
      <c r="D670" s="3" t="n">
        <v>63.56</v>
      </c>
      <c r="E670" s="3" t="n">
        <v>12.04</v>
      </c>
      <c r="F670" s="3" t="n">
        <v>32.1</v>
      </c>
      <c r="G670" s="3" t="n">
        <v>10.94</v>
      </c>
      <c r="H670" s="3" t="n">
        <v>15.59</v>
      </c>
      <c r="I670" s="3" t="n">
        <v>3.6</v>
      </c>
      <c r="J670" s="3" t="n">
        <v>120.97</v>
      </c>
    </row>
    <row r="671">
      <c r="A671" s="8" t="n">
        <v>45407</v>
      </c>
      <c r="B671" s="3" t="n">
        <v>20.6</v>
      </c>
      <c r="C671" s="3" t="n">
        <v>38.67</v>
      </c>
      <c r="D671" s="3" t="n">
        <v>62.22</v>
      </c>
      <c r="E671" s="3" t="n">
        <v>12.02</v>
      </c>
      <c r="F671" s="3" t="n">
        <v>31.99</v>
      </c>
      <c r="G671" s="3" t="n">
        <v>10.83</v>
      </c>
      <c r="H671" s="3" t="n">
        <v>15.51</v>
      </c>
      <c r="I671" s="3" t="n">
        <v>3.62</v>
      </c>
      <c r="J671" s="3" t="n">
        <v>120.91</v>
      </c>
    </row>
    <row r="672">
      <c r="A672" s="8" t="n">
        <v>45408</v>
      </c>
      <c r="B672" s="3" t="n">
        <v>20.84</v>
      </c>
      <c r="C672" s="3" t="n">
        <v>39.22</v>
      </c>
      <c r="D672" s="3" t="n">
        <v>62.74</v>
      </c>
      <c r="E672" s="3" t="n">
        <v>12.01</v>
      </c>
      <c r="F672" s="3" t="n">
        <v>32.09</v>
      </c>
      <c r="G672" s="3" t="n">
        <v>11.22</v>
      </c>
      <c r="H672" s="3" t="n">
        <v>15.71</v>
      </c>
      <c r="I672" s="3" t="n">
        <v>3.78</v>
      </c>
      <c r="J672" s="3" t="n">
        <v>122.83</v>
      </c>
    </row>
    <row r="673">
      <c r="A673" s="8" t="n">
        <v>45411</v>
      </c>
      <c r="B673" s="3" t="n">
        <v>20.83</v>
      </c>
      <c r="C673" s="3" t="n">
        <v>39.36</v>
      </c>
      <c r="D673" s="3" t="n">
        <v>63.9</v>
      </c>
      <c r="E673" s="3" t="n">
        <v>12.1</v>
      </c>
      <c r="F673" s="3" t="n">
        <v>32.29</v>
      </c>
      <c r="G673" s="3" t="n">
        <v>11.14</v>
      </c>
      <c r="H673" s="3" t="n">
        <v>15.69</v>
      </c>
      <c r="I673" s="3" t="n">
        <v>3.82</v>
      </c>
      <c r="J673" s="3" t="n">
        <v>123.77</v>
      </c>
    </row>
    <row r="674">
      <c r="A674" s="8" t="n">
        <v>45412</v>
      </c>
      <c r="B674" s="3" t="n">
        <v>20.16</v>
      </c>
      <c r="C674" s="3" t="n">
        <v>39.55</v>
      </c>
      <c r="D674" s="3" t="n">
        <v>63.29</v>
      </c>
      <c r="E674" s="3" t="n">
        <v>12.15</v>
      </c>
      <c r="F674" s="3" t="n">
        <v>32.2</v>
      </c>
      <c r="G674" s="3" t="n">
        <v>10.79</v>
      </c>
      <c r="H674" s="3" t="n">
        <v>15.33</v>
      </c>
      <c r="I674" s="3" t="n">
        <v>3.69</v>
      </c>
      <c r="J674" s="3" t="n">
        <v>122.38</v>
      </c>
    </row>
    <row r="675">
      <c r="A675" s="8" t="n">
        <v>45414</v>
      </c>
      <c r="B675" s="3" t="n">
        <v>20.53</v>
      </c>
      <c r="C675" s="3" t="n">
        <v>38.85</v>
      </c>
      <c r="D675" s="3" t="n">
        <v>63.92</v>
      </c>
      <c r="E675" s="3" t="n">
        <v>12.33</v>
      </c>
      <c r="F675" s="3" t="n">
        <v>32.42</v>
      </c>
      <c r="G675" s="3" t="n">
        <v>11.06</v>
      </c>
      <c r="H675" s="3" t="n">
        <v>15.63</v>
      </c>
      <c r="I675" s="3" t="n">
        <v>3.72</v>
      </c>
      <c r="J675" s="3" t="n">
        <v>123.35</v>
      </c>
    </row>
    <row r="676">
      <c r="A676" s="8" t="n">
        <v>45415</v>
      </c>
      <c r="B676" s="3" t="n">
        <v>21</v>
      </c>
      <c r="C676" s="3" t="n">
        <v>38.77</v>
      </c>
      <c r="D676" s="3" t="n">
        <v>63.99</v>
      </c>
      <c r="E676" s="3" t="n">
        <v>12.37</v>
      </c>
      <c r="F676" s="3" t="n">
        <v>32.84</v>
      </c>
      <c r="G676" s="3" t="n">
        <v>11.39</v>
      </c>
      <c r="H676" s="3" t="n">
        <v>16.4</v>
      </c>
      <c r="I676" s="3" t="n">
        <v>3.85</v>
      </c>
      <c r="J676" s="3" t="n">
        <v>124.95</v>
      </c>
    </row>
    <row r="677">
      <c r="A677" s="8" t="n">
        <v>45418</v>
      </c>
      <c r="B677" s="3" t="n">
        <v>20.8</v>
      </c>
      <c r="C677" s="3" t="n">
        <v>38.63</v>
      </c>
      <c r="D677" s="3" t="n">
        <v>64.18000000000001</v>
      </c>
      <c r="E677" s="3" t="n">
        <v>12.45</v>
      </c>
      <c r="F677" s="3" t="n">
        <v>33.26</v>
      </c>
      <c r="G677" s="3" t="n">
        <v>11.51</v>
      </c>
      <c r="H677" s="3" t="n">
        <v>15.95</v>
      </c>
      <c r="I677" s="3" t="n">
        <v>3.88</v>
      </c>
      <c r="J677" s="3" t="n">
        <v>124.71</v>
      </c>
    </row>
    <row r="678">
      <c r="A678" s="8" t="n">
        <v>45419</v>
      </c>
      <c r="B678" s="3" t="n">
        <v>20.74</v>
      </c>
      <c r="C678" s="3" t="n">
        <v>38.9</v>
      </c>
      <c r="D678" s="3" t="n">
        <v>64.58</v>
      </c>
      <c r="E678" s="3" t="n">
        <v>12.6</v>
      </c>
      <c r="F678" s="3" t="n">
        <v>32.8</v>
      </c>
      <c r="G678" s="3" t="n">
        <v>11.58</v>
      </c>
      <c r="H678" s="3" t="n">
        <v>15.93</v>
      </c>
      <c r="I678" s="3" t="n">
        <v>4.04</v>
      </c>
      <c r="J678" s="3" t="n">
        <v>125.4</v>
      </c>
    </row>
    <row r="679">
      <c r="A679" s="8" t="n">
        <v>45420</v>
      </c>
      <c r="B679" s="3" t="n">
        <v>20.67</v>
      </c>
      <c r="C679" s="3" t="n">
        <v>39.09</v>
      </c>
      <c r="D679" s="3" t="n">
        <v>63.99</v>
      </c>
      <c r="E679" s="3" t="n">
        <v>12.17</v>
      </c>
      <c r="F679" s="3" t="n">
        <v>32.62</v>
      </c>
      <c r="G679" s="3" t="n">
        <v>11.67</v>
      </c>
      <c r="H679" s="3" t="n">
        <v>16.85</v>
      </c>
      <c r="I679" s="3" t="n">
        <v>4.13</v>
      </c>
      <c r="J679" s="3" t="n">
        <v>125.75</v>
      </c>
    </row>
    <row r="680">
      <c r="A680" s="8" t="n">
        <v>45421</v>
      </c>
      <c r="B680" s="3" t="n">
        <v>20.46</v>
      </c>
      <c r="C680" s="3" t="n">
        <v>38.9</v>
      </c>
      <c r="D680" s="3" t="n">
        <v>64.51000000000001</v>
      </c>
      <c r="E680" s="3" t="n">
        <v>12.05</v>
      </c>
      <c r="F680" s="3" t="n">
        <v>32.62</v>
      </c>
      <c r="G680" s="3" t="n">
        <v>11.21</v>
      </c>
      <c r="H680" s="3" t="n">
        <v>15.76</v>
      </c>
      <c r="I680" s="3" t="n">
        <v>4.1</v>
      </c>
      <c r="J680" s="3" t="n">
        <v>124.52</v>
      </c>
    </row>
    <row r="681">
      <c r="A681" s="8" t="n">
        <v>45422</v>
      </c>
      <c r="B681" s="3" t="n">
        <v>20.98</v>
      </c>
      <c r="C681" s="3" t="n">
        <v>38.97</v>
      </c>
      <c r="D681" s="3" t="n">
        <v>64.29000000000001</v>
      </c>
      <c r="E681" s="3" t="n">
        <v>12.04</v>
      </c>
      <c r="F681" s="3" t="n">
        <v>33.13</v>
      </c>
      <c r="G681" s="3" t="n">
        <v>10.94</v>
      </c>
      <c r="H681" s="3" t="n">
        <v>15.1</v>
      </c>
      <c r="I681" s="3" t="n">
        <v>4.05</v>
      </c>
      <c r="J681" s="3" t="n">
        <v>124.01</v>
      </c>
    </row>
    <row r="682">
      <c r="A682" s="8" t="n">
        <v>45425</v>
      </c>
      <c r="B682" s="3" t="n">
        <v>20.84</v>
      </c>
      <c r="C682" s="3" t="n">
        <v>39.08</v>
      </c>
      <c r="D682" s="3" t="n">
        <v>64.67</v>
      </c>
      <c r="E682" s="3" t="n">
        <v>12.06</v>
      </c>
      <c r="F682" s="3" t="n">
        <v>33.6</v>
      </c>
      <c r="G682" s="3" t="n">
        <v>11.23</v>
      </c>
      <c r="H682" s="3" t="n">
        <v>15.13</v>
      </c>
      <c r="I682" s="3" t="n">
        <v>4.03</v>
      </c>
      <c r="J682" s="3" t="n">
        <v>124.56</v>
      </c>
    </row>
    <row r="683">
      <c r="A683" s="8" t="n">
        <v>45426</v>
      </c>
      <c r="B683" s="3" t="n">
        <v>20.64</v>
      </c>
      <c r="C683" s="3" t="n">
        <v>39.61</v>
      </c>
      <c r="D683" s="3" t="n">
        <v>64.63</v>
      </c>
      <c r="E683" s="3" t="n">
        <v>12.16</v>
      </c>
      <c r="F683" s="3" t="n">
        <v>34</v>
      </c>
      <c r="G683" s="3" t="n">
        <v>11.47</v>
      </c>
      <c r="H683" s="3" t="n">
        <v>15.2</v>
      </c>
      <c r="I683" s="3" t="n">
        <v>4.45</v>
      </c>
      <c r="J683" s="3" t="n">
        <v>124.81</v>
      </c>
    </row>
    <row r="684">
      <c r="A684" s="8" t="n">
        <v>45427</v>
      </c>
      <c r="B684" s="3" t="n">
        <v>20.49</v>
      </c>
      <c r="C684" s="3" t="n">
        <v>39.62</v>
      </c>
      <c r="D684" s="3" t="n">
        <v>64.44</v>
      </c>
      <c r="E684" s="3" t="n">
        <v>12.31</v>
      </c>
      <c r="F684" s="3" t="n">
        <v>34.24</v>
      </c>
      <c r="G684" s="3" t="n">
        <v>11.51</v>
      </c>
      <c r="H684" s="3" t="n">
        <v>14.9</v>
      </c>
      <c r="I684" s="3" t="n">
        <v>4.4</v>
      </c>
      <c r="J684" s="3" t="n">
        <v>124.23</v>
      </c>
    </row>
    <row r="685">
      <c r="A685" s="8" t="n">
        <v>45428</v>
      </c>
      <c r="B685" s="3" t="n">
        <v>21.04</v>
      </c>
      <c r="C685" s="3" t="n">
        <v>39.6</v>
      </c>
      <c r="D685" s="3" t="n">
        <v>64.91</v>
      </c>
      <c r="E685" s="3" t="n">
        <v>12.38</v>
      </c>
      <c r="F685" s="3" t="n">
        <v>34.45</v>
      </c>
      <c r="G685" s="3" t="n">
        <v>11.6</v>
      </c>
      <c r="H685" s="3" t="n">
        <v>14.99</v>
      </c>
      <c r="I685" s="3" t="n">
        <v>4.49</v>
      </c>
      <c r="J685" s="3" t="n">
        <v>124.55</v>
      </c>
    </row>
    <row r="686">
      <c r="A686" s="8" t="n">
        <v>45429</v>
      </c>
      <c r="B686" s="3" t="n">
        <v>20.74</v>
      </c>
      <c r="C686" s="3" t="n">
        <v>39.64</v>
      </c>
      <c r="D686" s="3" t="n">
        <v>66.18000000000001</v>
      </c>
      <c r="E686" s="3" t="n">
        <v>12.38</v>
      </c>
      <c r="F686" s="3" t="n">
        <v>34.17</v>
      </c>
      <c r="G686" s="3" t="n">
        <v>11.42</v>
      </c>
      <c r="H686" s="3" t="n">
        <v>14.73</v>
      </c>
      <c r="I686" s="3" t="n">
        <v>4.51</v>
      </c>
      <c r="J686" s="3" t="n">
        <v>124.37</v>
      </c>
    </row>
    <row r="687">
      <c r="A687" s="8" t="n">
        <v>45432</v>
      </c>
      <c r="B687" s="3" t="n">
        <v>20.31</v>
      </c>
      <c r="C687" s="3" t="n">
        <v>39.85</v>
      </c>
      <c r="D687" s="3" t="n">
        <v>66.15000000000001</v>
      </c>
      <c r="E687" s="3" t="n">
        <v>12.1</v>
      </c>
      <c r="F687" s="3" t="n">
        <v>33.7</v>
      </c>
      <c r="G687" s="3" t="n">
        <v>11.43</v>
      </c>
      <c r="H687" s="3" t="n">
        <v>14.69</v>
      </c>
      <c r="I687" s="3" t="n">
        <v>4.55</v>
      </c>
      <c r="J687" s="3" t="n">
        <v>124.12</v>
      </c>
    </row>
    <row r="688">
      <c r="A688" s="8" t="n">
        <v>45433</v>
      </c>
      <c r="B688" s="3" t="n">
        <v>20.68</v>
      </c>
      <c r="C688" s="3" t="n">
        <v>39.76</v>
      </c>
      <c r="D688" s="3" t="n">
        <v>65.95999999999999</v>
      </c>
      <c r="E688" s="3" t="n">
        <v>12.02</v>
      </c>
      <c r="F688" s="3" t="n">
        <v>33.93</v>
      </c>
      <c r="G688" s="3" t="n">
        <v>11.41</v>
      </c>
      <c r="H688" s="3" t="n">
        <v>14.11</v>
      </c>
      <c r="I688" s="3" t="n">
        <v>4.48</v>
      </c>
      <c r="J688" s="3" t="n">
        <v>123.7</v>
      </c>
    </row>
    <row r="689">
      <c r="A689" s="8" t="n">
        <v>45434</v>
      </c>
      <c r="B689" s="3" t="n">
        <v>20.49</v>
      </c>
      <c r="C689" s="3" t="n">
        <v>39.28</v>
      </c>
      <c r="D689" s="3" t="n">
        <v>65.44</v>
      </c>
      <c r="E689" s="3" t="n">
        <v>11.97</v>
      </c>
      <c r="F689" s="3" t="n">
        <v>33.36</v>
      </c>
      <c r="G689" s="3" t="n">
        <v>11.06</v>
      </c>
      <c r="H689" s="3" t="n">
        <v>13.11</v>
      </c>
      <c r="I689" s="3" t="n">
        <v>4.4</v>
      </c>
      <c r="J689" s="3" t="n">
        <v>122.07</v>
      </c>
    </row>
    <row r="690">
      <c r="A690" s="8" t="n">
        <v>45435</v>
      </c>
      <c r="B690" s="3" t="n">
        <v>20.49</v>
      </c>
      <c r="C690" s="3" t="n">
        <v>39.03</v>
      </c>
      <c r="D690" s="3" t="n">
        <v>65.05</v>
      </c>
      <c r="E690" s="3" t="n">
        <v>11.96</v>
      </c>
      <c r="F690" s="3" t="n">
        <v>33.22</v>
      </c>
      <c r="G690" s="3" t="n">
        <v>11.11</v>
      </c>
      <c r="H690" s="3" t="n">
        <v>13.4</v>
      </c>
      <c r="I690" s="3" t="n">
        <v>4.26</v>
      </c>
      <c r="J690" s="3" t="n">
        <v>121.1</v>
      </c>
    </row>
    <row r="691">
      <c r="A691" s="8" t="n">
        <v>45436</v>
      </c>
      <c r="B691" s="3" t="n">
        <v>20.32</v>
      </c>
      <c r="C691" s="3" t="n">
        <v>38.34</v>
      </c>
      <c r="D691" s="3" t="n">
        <v>65.08</v>
      </c>
      <c r="E691" s="3" t="n">
        <v>11.87</v>
      </c>
      <c r="F691" s="3" t="n">
        <v>32.69</v>
      </c>
      <c r="G691" s="3" t="n">
        <v>11.14</v>
      </c>
      <c r="H691" s="3" t="n">
        <v>13.33</v>
      </c>
      <c r="I691" s="3" t="n">
        <v>4.26</v>
      </c>
      <c r="J691" s="3" t="n">
        <v>120.64</v>
      </c>
    </row>
    <row r="692">
      <c r="A692" s="8" t="n">
        <v>45439</v>
      </c>
      <c r="B692" s="3" t="n">
        <v>20.31</v>
      </c>
      <c r="C692" s="3" t="n">
        <v>38.35</v>
      </c>
      <c r="D692" s="3" t="n">
        <v>65.3</v>
      </c>
      <c r="E692" s="3" t="n">
        <v>11.81</v>
      </c>
      <c r="F692" s="3" t="n">
        <v>32.86</v>
      </c>
      <c r="G692" s="3" t="n">
        <v>11.1</v>
      </c>
      <c r="H692" s="3" t="n">
        <v>13.34</v>
      </c>
      <c r="I692" s="3" t="n">
        <v>4.27</v>
      </c>
      <c r="J692" s="3" t="n">
        <v>120.87</v>
      </c>
    </row>
    <row r="693">
      <c r="A693" s="8" t="n">
        <v>45440</v>
      </c>
      <c r="B693" s="3" t="n">
        <v>20.14</v>
      </c>
      <c r="C693" s="3" t="n">
        <v>38.23</v>
      </c>
      <c r="D693" s="3" t="n">
        <v>63.89</v>
      </c>
      <c r="E693" s="3" t="n">
        <v>11.59</v>
      </c>
      <c r="F693" s="3" t="n">
        <v>32.41</v>
      </c>
      <c r="G693" s="3" t="n">
        <v>11.07</v>
      </c>
      <c r="H693" s="3" t="n">
        <v>13.2</v>
      </c>
      <c r="I693" s="3" t="n">
        <v>4.15</v>
      </c>
      <c r="J693" s="3" t="n">
        <v>120.18</v>
      </c>
    </row>
    <row r="694">
      <c r="A694" s="8" t="n">
        <v>45441</v>
      </c>
      <c r="B694" s="3" t="n">
        <v>19.75</v>
      </c>
      <c r="C694" s="3" t="n">
        <v>37.73</v>
      </c>
      <c r="D694" s="3" t="n">
        <v>63.24</v>
      </c>
      <c r="E694" s="3" t="n">
        <v>11.52</v>
      </c>
      <c r="F694" s="3" t="n">
        <v>32.6</v>
      </c>
      <c r="G694" s="3" t="n">
        <v>10.88</v>
      </c>
      <c r="H694" s="3" t="n">
        <v>13.36</v>
      </c>
      <c r="I694" s="3" t="n">
        <v>4.15</v>
      </c>
      <c r="J694" s="3" t="n">
        <v>119.12</v>
      </c>
    </row>
    <row r="695">
      <c r="A695" s="8" t="n">
        <v>45443</v>
      </c>
      <c r="B695" s="3" t="n">
        <v>19.71</v>
      </c>
      <c r="C695" s="3" t="n">
        <v>37.55</v>
      </c>
      <c r="D695" s="3" t="n">
        <v>63.2</v>
      </c>
      <c r="E695" s="3" t="n">
        <v>11.56</v>
      </c>
      <c r="F695" s="3" t="n">
        <v>32.3</v>
      </c>
      <c r="G695" s="3" t="n">
        <v>10.7</v>
      </c>
      <c r="H695" s="3" t="n">
        <v>13.12</v>
      </c>
      <c r="I695" s="3" t="n">
        <v>3.99</v>
      </c>
      <c r="J695" s="3" t="n">
        <v>118.66</v>
      </c>
    </row>
    <row r="696">
      <c r="A696" s="8" t="n">
        <v>45446</v>
      </c>
      <c r="B696" s="3" t="n">
        <v>19.83</v>
      </c>
      <c r="C696" s="3" t="n">
        <v>37.34</v>
      </c>
      <c r="D696" s="3" t="n">
        <v>61.87</v>
      </c>
      <c r="E696" s="3" t="n">
        <v>11.55</v>
      </c>
      <c r="F696" s="3" t="n">
        <v>32.18</v>
      </c>
      <c r="G696" s="3" t="n">
        <v>10.69</v>
      </c>
      <c r="H696" s="3" t="n">
        <v>13.02</v>
      </c>
      <c r="I696" s="3" t="n">
        <v>4.07</v>
      </c>
      <c r="J696" s="3" t="n">
        <v>118.44</v>
      </c>
    </row>
    <row r="697">
      <c r="A697" s="8" t="n">
        <v>45447</v>
      </c>
      <c r="B697" s="3" t="n">
        <v>19.86</v>
      </c>
      <c r="C697" s="3" t="n">
        <v>37.8</v>
      </c>
      <c r="D697" s="3" t="n">
        <v>61.24</v>
      </c>
      <c r="E697" s="3" t="n">
        <v>11.69</v>
      </c>
      <c r="F697" s="3" t="n">
        <v>32.59</v>
      </c>
      <c r="G697" s="3" t="n">
        <v>10.71</v>
      </c>
      <c r="H697" s="3" t="n">
        <v>12.88</v>
      </c>
      <c r="I697" s="3" t="n">
        <v>4.06</v>
      </c>
      <c r="J697" s="3" t="n">
        <v>118.16</v>
      </c>
    </row>
    <row r="698">
      <c r="A698" s="8" t="n">
        <v>45448</v>
      </c>
      <c r="B698" s="3" t="n">
        <v>19.8</v>
      </c>
      <c r="C698" s="3" t="n">
        <v>37.54</v>
      </c>
      <c r="D698" s="3" t="n">
        <v>60.37</v>
      </c>
      <c r="E698" s="3" t="n">
        <v>11.57</v>
      </c>
      <c r="F698" s="3" t="n">
        <v>32.78</v>
      </c>
      <c r="G698" s="3" t="n">
        <v>10.74</v>
      </c>
      <c r="H698" s="3" t="n">
        <v>12.89</v>
      </c>
      <c r="I698" s="3" t="n">
        <v>3.95</v>
      </c>
      <c r="J698" s="3" t="n">
        <v>117.9</v>
      </c>
    </row>
    <row r="699">
      <c r="A699" s="8" t="n">
        <v>45449</v>
      </c>
      <c r="B699" s="3" t="n">
        <v>20.5</v>
      </c>
      <c r="C699" s="3" t="n">
        <v>37.81</v>
      </c>
      <c r="D699" s="3" t="n">
        <v>61.21</v>
      </c>
      <c r="E699" s="3" t="n">
        <v>11.82</v>
      </c>
      <c r="F699" s="3" t="n">
        <v>32.95</v>
      </c>
      <c r="G699" s="3" t="n">
        <v>11.08</v>
      </c>
      <c r="H699" s="3" t="n">
        <v>13.38</v>
      </c>
      <c r="I699" s="3" t="n">
        <v>4.01</v>
      </c>
      <c r="J699" s="3" t="n">
        <v>119.4</v>
      </c>
    </row>
    <row r="700">
      <c r="A700" s="8" t="n">
        <v>45450</v>
      </c>
      <c r="B700" s="3" t="n">
        <v>19.8</v>
      </c>
      <c r="C700" s="3" t="n">
        <v>37.85</v>
      </c>
      <c r="D700" s="3" t="n">
        <v>60.41</v>
      </c>
      <c r="E700" s="3" t="n">
        <v>11.56</v>
      </c>
      <c r="F700" s="3" t="n">
        <v>32.69</v>
      </c>
      <c r="G700" s="3" t="n">
        <v>10.75</v>
      </c>
      <c r="H700" s="3" t="n">
        <v>13.17</v>
      </c>
      <c r="I700" s="3" t="n">
        <v>3.89</v>
      </c>
      <c r="J700" s="3" t="n">
        <v>117.13</v>
      </c>
    </row>
    <row r="701">
      <c r="A701" s="8" t="n">
        <v>45453</v>
      </c>
      <c r="B701" s="3" t="n">
        <v>19.6</v>
      </c>
      <c r="C701" s="3" t="n">
        <v>37.81</v>
      </c>
      <c r="D701" s="3" t="n">
        <v>61.07</v>
      </c>
      <c r="E701" s="3" t="n">
        <v>11.46</v>
      </c>
      <c r="F701" s="3" t="n">
        <v>32.62</v>
      </c>
      <c r="G701" s="3" t="n">
        <v>10.49</v>
      </c>
      <c r="H701" s="3" t="n">
        <v>12.76</v>
      </c>
      <c r="I701" s="3" t="n">
        <v>3.85</v>
      </c>
      <c r="J701" s="3" t="n">
        <v>117.35</v>
      </c>
    </row>
    <row r="702">
      <c r="A702" s="8" t="n">
        <v>45454</v>
      </c>
      <c r="B702" s="3" t="n">
        <v>20</v>
      </c>
      <c r="C702" s="3" t="n">
        <v>37.8</v>
      </c>
      <c r="D702" s="3" t="n">
        <v>60.98</v>
      </c>
      <c r="E702" s="3" t="n">
        <v>11.4</v>
      </c>
      <c r="F702" s="3" t="n">
        <v>32.78</v>
      </c>
      <c r="G702" s="3" t="n">
        <v>10.55</v>
      </c>
      <c r="H702" s="3" t="n">
        <v>12.97</v>
      </c>
      <c r="I702" s="3" t="n">
        <v>3.91</v>
      </c>
      <c r="J702" s="3" t="n">
        <v>118</v>
      </c>
    </row>
    <row r="703">
      <c r="A703" s="8" t="n">
        <v>45455</v>
      </c>
      <c r="B703" s="3" t="n">
        <v>19.6</v>
      </c>
      <c r="C703" s="3" t="n">
        <v>38.07</v>
      </c>
      <c r="D703" s="3" t="n">
        <v>60.14</v>
      </c>
      <c r="E703" s="3" t="n">
        <v>11.27</v>
      </c>
      <c r="F703" s="3" t="n">
        <v>32.47</v>
      </c>
      <c r="G703" s="3" t="n">
        <v>10.4</v>
      </c>
      <c r="H703" s="3" t="n">
        <v>12.77</v>
      </c>
      <c r="I703" s="3" t="n">
        <v>3.79</v>
      </c>
      <c r="J703" s="3" t="n">
        <v>116.46</v>
      </c>
    </row>
    <row r="704">
      <c r="A704" s="8" t="n">
        <v>45456</v>
      </c>
      <c r="B704" s="3" t="n">
        <v>19.39</v>
      </c>
      <c r="C704" s="3" t="n">
        <v>38.42</v>
      </c>
      <c r="D704" s="3" t="n">
        <v>60.83</v>
      </c>
      <c r="E704" s="3" t="n">
        <v>11.09</v>
      </c>
      <c r="F704" s="3" t="n">
        <v>32.51</v>
      </c>
      <c r="G704" s="3" t="n">
        <v>10.08</v>
      </c>
      <c r="H704" s="3" t="n">
        <v>12.59</v>
      </c>
      <c r="I704" s="3" t="n">
        <v>3.74</v>
      </c>
      <c r="J704" s="3" t="n">
        <v>116.18</v>
      </c>
    </row>
    <row r="705">
      <c r="A705" s="8" t="n">
        <v>45457</v>
      </c>
      <c r="B705" s="3" t="n">
        <v>19.77</v>
      </c>
      <c r="C705" s="3" t="n">
        <v>38.77</v>
      </c>
      <c r="D705" s="3" t="n">
        <v>60.62</v>
      </c>
      <c r="E705" s="3" t="n">
        <v>11.24</v>
      </c>
      <c r="F705" s="3" t="n">
        <v>32.46</v>
      </c>
      <c r="G705" s="3" t="n">
        <v>10.37</v>
      </c>
      <c r="H705" s="3" t="n">
        <v>12.79</v>
      </c>
      <c r="I705" s="3" t="n">
        <v>3.75</v>
      </c>
      <c r="J705" s="3" t="n">
        <v>116.22</v>
      </c>
    </row>
    <row r="706">
      <c r="A706" s="8" t="n">
        <v>45460</v>
      </c>
      <c r="B706" s="3" t="n">
        <v>19.27</v>
      </c>
      <c r="C706" s="3" t="n">
        <v>38.77</v>
      </c>
      <c r="D706" s="3" t="n">
        <v>60.38</v>
      </c>
      <c r="E706" s="3" t="n">
        <v>11.24</v>
      </c>
      <c r="F706" s="3" t="n">
        <v>32.39</v>
      </c>
      <c r="G706" s="3" t="n">
        <v>10.56</v>
      </c>
      <c r="H706" s="3" t="n">
        <v>12.42</v>
      </c>
      <c r="I706" s="3" t="n">
        <v>3.66</v>
      </c>
      <c r="J706" s="3" t="n">
        <v>115.74</v>
      </c>
    </row>
    <row r="707">
      <c r="A707" s="8" t="n">
        <v>45461</v>
      </c>
      <c r="B707" s="3" t="n">
        <v>19.5</v>
      </c>
      <c r="C707" s="3" t="n">
        <v>38.86</v>
      </c>
      <c r="D707" s="3" t="n">
        <v>60.66</v>
      </c>
      <c r="E707" s="3" t="n">
        <v>11.25</v>
      </c>
      <c r="F707" s="3" t="n">
        <v>32.45</v>
      </c>
      <c r="G707" s="3" t="n">
        <v>10.61</v>
      </c>
      <c r="H707" s="3" t="n">
        <v>12.36</v>
      </c>
      <c r="I707" s="3" t="n">
        <v>3.65</v>
      </c>
      <c r="J707" s="3" t="n">
        <v>116.12</v>
      </c>
    </row>
    <row r="708">
      <c r="A708" s="8" t="n">
        <v>45462</v>
      </c>
      <c r="B708" s="3" t="n">
        <v>19.54</v>
      </c>
      <c r="C708" s="3" t="n">
        <v>39.81</v>
      </c>
      <c r="D708" s="3" t="n">
        <v>60.85</v>
      </c>
      <c r="E708" s="3" t="n">
        <v>11.2</v>
      </c>
      <c r="F708" s="3" t="n">
        <v>32.57</v>
      </c>
      <c r="G708" s="3" t="n">
        <v>10.46</v>
      </c>
      <c r="H708" s="3" t="n">
        <v>12.63</v>
      </c>
      <c r="I708" s="3" t="n">
        <v>3.7</v>
      </c>
      <c r="J708" s="3" t="n">
        <v>116.76</v>
      </c>
    </row>
    <row r="709">
      <c r="A709" s="8" t="n">
        <v>45463</v>
      </c>
      <c r="B709" s="3" t="n">
        <v>19.6</v>
      </c>
      <c r="C709" s="3" t="n">
        <v>40.78</v>
      </c>
      <c r="D709" s="3" t="n">
        <v>61.4</v>
      </c>
      <c r="E709" s="3" t="n">
        <v>11.28</v>
      </c>
      <c r="F709" s="3" t="n">
        <v>32.71</v>
      </c>
      <c r="G709" s="3" t="n">
        <v>10.32</v>
      </c>
      <c r="H709" s="3" t="n">
        <v>12.51</v>
      </c>
      <c r="I709" s="3" t="n">
        <v>3.65</v>
      </c>
      <c r="J709" s="3" t="n">
        <v>117.12</v>
      </c>
    </row>
    <row r="710">
      <c r="A710" s="8" t="n">
        <v>45464</v>
      </c>
      <c r="B710" s="3" t="n">
        <v>20.05</v>
      </c>
      <c r="C710" s="3" t="n">
        <v>41.08</v>
      </c>
      <c r="D710" s="3" t="n">
        <v>60.83</v>
      </c>
      <c r="E710" s="3" t="n">
        <v>11.28</v>
      </c>
      <c r="F710" s="3" t="n">
        <v>32.9</v>
      </c>
      <c r="G710" s="3" t="n">
        <v>10.39</v>
      </c>
      <c r="H710" s="3" t="n">
        <v>12.53</v>
      </c>
      <c r="I710" s="3" t="n">
        <v>3.67</v>
      </c>
      <c r="J710" s="3" t="n">
        <v>118.02</v>
      </c>
    </row>
    <row r="711">
      <c r="A711" s="8" t="n">
        <v>45467</v>
      </c>
      <c r="B711" s="3" t="n">
        <v>20.26</v>
      </c>
      <c r="C711" s="3" t="n">
        <v>40.87</v>
      </c>
      <c r="D711" s="3" t="n">
        <v>60.9</v>
      </c>
      <c r="E711" s="3" t="n">
        <v>11.32</v>
      </c>
      <c r="F711" s="3" t="n">
        <v>33.63</v>
      </c>
      <c r="G711" s="3" t="n">
        <v>10.51</v>
      </c>
      <c r="H711" s="3" t="n">
        <v>12.75</v>
      </c>
      <c r="I711" s="3" t="n">
        <v>3.89</v>
      </c>
      <c r="J711" s="3" t="n">
        <v>119.08</v>
      </c>
    </row>
    <row r="712">
      <c r="A712" s="8" t="n">
        <v>45468</v>
      </c>
      <c r="B712" s="3" t="n">
        <v>20.34</v>
      </c>
      <c r="C712" s="3" t="n">
        <v>41.57</v>
      </c>
      <c r="D712" s="3" t="n">
        <v>60.65</v>
      </c>
      <c r="E712" s="3" t="n">
        <v>11.38</v>
      </c>
      <c r="F712" s="3" t="n">
        <v>33.43</v>
      </c>
      <c r="G712" s="3" t="n">
        <v>10.32</v>
      </c>
      <c r="H712" s="3" t="n">
        <v>12.66</v>
      </c>
      <c r="I712" s="3" t="n">
        <v>3.83</v>
      </c>
      <c r="J712" s="3" t="n">
        <v>118.9</v>
      </c>
    </row>
    <row r="713">
      <c r="A713" s="8" t="n">
        <v>45469</v>
      </c>
      <c r="B713" s="3" t="n">
        <v>20.6</v>
      </c>
      <c r="C713" s="3" t="n">
        <v>41.95</v>
      </c>
      <c r="D713" s="3" t="n">
        <v>61.4</v>
      </c>
      <c r="E713" s="3" t="n">
        <v>11.45</v>
      </c>
      <c r="F713" s="3" t="n">
        <v>32.95</v>
      </c>
      <c r="G713" s="3" t="n">
        <v>10.22</v>
      </c>
      <c r="H713" s="3" t="n">
        <v>12.12</v>
      </c>
      <c r="I713" s="3" t="n">
        <v>3.81</v>
      </c>
      <c r="J713" s="3" t="n">
        <v>119.14</v>
      </c>
    </row>
    <row r="714">
      <c r="A714" s="8" t="n">
        <v>45470</v>
      </c>
      <c r="B714" s="3" t="n">
        <v>21.09</v>
      </c>
      <c r="C714" s="3" t="n">
        <v>41.7</v>
      </c>
      <c r="D714" s="3" t="n">
        <v>61.56</v>
      </c>
      <c r="E714" s="3" t="n">
        <v>11.46</v>
      </c>
      <c r="F714" s="3" t="n">
        <v>32.78</v>
      </c>
      <c r="G714" s="3" t="n">
        <v>10.4</v>
      </c>
      <c r="H714" s="3" t="n">
        <v>12.59</v>
      </c>
      <c r="I714" s="3" t="n">
        <v>3.91</v>
      </c>
      <c r="J714" s="3" t="n">
        <v>120.8</v>
      </c>
    </row>
    <row r="715">
      <c r="A715" s="8" t="n">
        <v>45471</v>
      </c>
      <c r="B715" s="3" t="n">
        <v>20.72</v>
      </c>
      <c r="C715" s="3" t="n">
        <v>42.19</v>
      </c>
      <c r="D715" s="3" t="n">
        <v>62.22</v>
      </c>
      <c r="E715" s="3" t="n">
        <v>11.41</v>
      </c>
      <c r="F715" s="3" t="n">
        <v>32.93</v>
      </c>
      <c r="G715" s="3" t="n">
        <v>10.24</v>
      </c>
      <c r="H715" s="3" t="n">
        <v>12.48</v>
      </c>
      <c r="I715" s="3" t="n">
        <v>3.83</v>
      </c>
      <c r="J715" s="3" t="n">
        <v>120.38</v>
      </c>
    </row>
    <row r="716">
      <c r="A716" s="8" t="n">
        <v>45474</v>
      </c>
      <c r="B716" s="3" t="n">
        <v>20.6</v>
      </c>
      <c r="C716" s="3" t="n">
        <v>41.97</v>
      </c>
      <c r="D716" s="3" t="n">
        <v>63.14</v>
      </c>
      <c r="E716" s="3" t="n">
        <v>11.45</v>
      </c>
      <c r="F716" s="3" t="n">
        <v>32.82</v>
      </c>
      <c r="G716" s="3" t="n">
        <v>10.47</v>
      </c>
      <c r="H716" s="3" t="n">
        <v>12.46</v>
      </c>
      <c r="I716" s="3" t="n">
        <v>3.76</v>
      </c>
      <c r="J716" s="3" t="n">
        <v>121.08</v>
      </c>
    </row>
    <row r="717">
      <c r="A717" s="8" t="n">
        <v>45475</v>
      </c>
      <c r="B717" s="3" t="n">
        <v>20.69</v>
      </c>
      <c r="C717" s="3" t="n">
        <v>42.03</v>
      </c>
      <c r="D717" s="3" t="n">
        <v>62.93</v>
      </c>
      <c r="E717" s="3" t="n">
        <v>11.46</v>
      </c>
      <c r="F717" s="3" t="n">
        <v>32.83</v>
      </c>
      <c r="G717" s="3" t="n">
        <v>10.45</v>
      </c>
      <c r="H717" s="3" t="n">
        <v>12.16</v>
      </c>
      <c r="I717" s="3" t="n">
        <v>3.72</v>
      </c>
      <c r="J717" s="3" t="n">
        <v>121.33</v>
      </c>
    </row>
    <row r="718">
      <c r="A718" s="8" t="n">
        <v>45476</v>
      </c>
      <c r="B718" s="3" t="n">
        <v>21.15</v>
      </c>
      <c r="C718" s="3" t="n">
        <v>42.11</v>
      </c>
      <c r="D718" s="3" t="n">
        <v>64.18000000000001</v>
      </c>
      <c r="E718" s="3" t="n">
        <v>11.38</v>
      </c>
      <c r="F718" s="3" t="n">
        <v>32.97</v>
      </c>
      <c r="G718" s="3" t="n">
        <v>10.43</v>
      </c>
      <c r="H718" s="3" t="n">
        <v>12.43</v>
      </c>
      <c r="I718" s="3" t="n">
        <v>3.89</v>
      </c>
      <c r="J718" s="3" t="n">
        <v>122.14</v>
      </c>
    </row>
    <row r="719">
      <c r="A719" s="8" t="n">
        <v>45477</v>
      </c>
      <c r="B719" s="3" t="n">
        <v>21.35</v>
      </c>
      <c r="C719" s="3" t="n">
        <v>41.89</v>
      </c>
      <c r="D719" s="3" t="n">
        <v>63.86</v>
      </c>
      <c r="E719" s="3" t="n">
        <v>11.45</v>
      </c>
      <c r="F719" s="3" t="n">
        <v>33.16</v>
      </c>
      <c r="G719" s="3" t="n">
        <v>10.58</v>
      </c>
      <c r="H719" s="3" t="n">
        <v>13.23</v>
      </c>
      <c r="I719" s="3" t="n">
        <v>3.97</v>
      </c>
      <c r="J719" s="3" t="n">
        <v>122.62</v>
      </c>
    </row>
    <row r="720">
      <c r="A720" s="8" t="n">
        <v>45478</v>
      </c>
      <c r="B720" s="3" t="n">
        <v>21.5</v>
      </c>
      <c r="C720" s="3" t="n">
        <v>42.19</v>
      </c>
      <c r="D720" s="3" t="n">
        <v>63.6</v>
      </c>
      <c r="E720" s="3" t="n">
        <v>11.32</v>
      </c>
      <c r="F720" s="3" t="n">
        <v>33.17</v>
      </c>
      <c r="G720" s="3" t="n">
        <v>10.52</v>
      </c>
      <c r="H720" s="3" t="n">
        <v>13.35</v>
      </c>
      <c r="I720" s="3" t="n">
        <v>3.95</v>
      </c>
      <c r="J720" s="3" t="n">
        <v>122.7</v>
      </c>
    </row>
    <row r="721">
      <c r="A721" s="8" t="n">
        <v>45481</v>
      </c>
      <c r="B721" s="3" t="n">
        <v>21.4</v>
      </c>
      <c r="C721" s="3" t="n">
        <v>44.47</v>
      </c>
      <c r="D721" s="3" t="n">
        <v>63.1</v>
      </c>
      <c r="E721" s="3" t="n">
        <v>11.25</v>
      </c>
      <c r="F721" s="3" t="n">
        <v>33.19</v>
      </c>
      <c r="G721" s="3" t="n">
        <v>10.69</v>
      </c>
      <c r="H721" s="3" t="n">
        <v>13.1</v>
      </c>
      <c r="I721" s="3" t="n">
        <v>3.93</v>
      </c>
      <c r="J721" s="3" t="n">
        <v>122.94</v>
      </c>
    </row>
    <row r="722">
      <c r="A722" s="8" t="n">
        <v>45482</v>
      </c>
      <c r="B722" s="3" t="n">
        <v>21.77</v>
      </c>
      <c r="C722" s="3" t="n">
        <v>44.55</v>
      </c>
      <c r="D722" s="3" t="n">
        <v>63.02</v>
      </c>
      <c r="E722" s="3" t="n">
        <v>11.25</v>
      </c>
      <c r="F722" s="3" t="n">
        <v>33.25</v>
      </c>
      <c r="G722" s="3" t="n">
        <v>10.62</v>
      </c>
      <c r="H722" s="3" t="n">
        <v>13.24</v>
      </c>
      <c r="I722" s="3" t="n">
        <v>4.06</v>
      </c>
      <c r="J722" s="3" t="n">
        <v>123.54</v>
      </c>
    </row>
    <row r="723">
      <c r="A723" s="8" t="n">
        <v>45483</v>
      </c>
      <c r="B723" s="3" t="n">
        <v>22.35</v>
      </c>
      <c r="C723" s="3" t="n">
        <v>44.05</v>
      </c>
      <c r="D723" s="3" t="n">
        <v>62.17</v>
      </c>
      <c r="E723" s="3" t="n">
        <v>11.4</v>
      </c>
      <c r="F723" s="3" t="n">
        <v>33.32</v>
      </c>
      <c r="G723" s="3" t="n">
        <v>10.73</v>
      </c>
      <c r="H723" s="3" t="n">
        <v>13.3</v>
      </c>
      <c r="I723" s="3" t="n">
        <v>4.07</v>
      </c>
      <c r="J723" s="3" t="n">
        <v>123.5</v>
      </c>
    </row>
    <row r="724">
      <c r="A724" s="8" t="n">
        <v>45484</v>
      </c>
      <c r="B724" s="3" t="n">
        <v>23.11</v>
      </c>
      <c r="C724" s="3" t="n">
        <v>44.96</v>
      </c>
      <c r="D724" s="3" t="n">
        <v>62.01</v>
      </c>
      <c r="E724" s="3" t="n">
        <v>11.53</v>
      </c>
      <c r="F724" s="3" t="n">
        <v>33.55</v>
      </c>
      <c r="G724" s="3" t="n">
        <v>11.05</v>
      </c>
      <c r="H724" s="3" t="n">
        <v>13.71</v>
      </c>
      <c r="I724" s="3" t="n">
        <v>4.09</v>
      </c>
      <c r="J724" s="3" t="n">
        <v>124.57</v>
      </c>
    </row>
    <row r="725">
      <c r="A725" s="8" t="n">
        <v>45485</v>
      </c>
      <c r="B725" s="3" t="n">
        <v>22.78</v>
      </c>
      <c r="C725" s="3" t="n">
        <v>45.88</v>
      </c>
      <c r="D725" s="3" t="n">
        <v>62.92</v>
      </c>
      <c r="E725" s="3" t="n">
        <v>11.64</v>
      </c>
      <c r="F725" s="3" t="n">
        <v>33.96</v>
      </c>
      <c r="G725" s="3" t="n">
        <v>11.51</v>
      </c>
      <c r="H725" s="3" t="n">
        <v>13.55</v>
      </c>
      <c r="I725" s="3" t="n">
        <v>4.08</v>
      </c>
      <c r="J725" s="3" t="n">
        <v>125.2</v>
      </c>
    </row>
    <row r="726">
      <c r="A726" s="8" t="n">
        <v>45488</v>
      </c>
      <c r="B726" s="3" t="n">
        <v>23.16</v>
      </c>
      <c r="C726" s="3" t="n">
        <v>46.51</v>
      </c>
      <c r="D726" s="3" t="n">
        <v>62.99</v>
      </c>
      <c r="E726" s="3" t="n">
        <v>11.64</v>
      </c>
      <c r="F726" s="3" t="n">
        <v>34.04</v>
      </c>
      <c r="G726" s="3" t="n">
        <v>11.46</v>
      </c>
      <c r="H726" s="3" t="n">
        <v>13.74</v>
      </c>
      <c r="I726" s="3" t="n">
        <v>4.15</v>
      </c>
      <c r="J726" s="3" t="n">
        <v>125.72</v>
      </c>
    </row>
    <row r="727">
      <c r="A727" s="8" t="n">
        <v>45489</v>
      </c>
      <c r="B727" s="3" t="n">
        <v>22.81</v>
      </c>
      <c r="C727" s="3" t="n">
        <v>46.68</v>
      </c>
      <c r="D727" s="3" t="n">
        <v>62.33</v>
      </c>
      <c r="E727" s="3" t="n">
        <v>11.7</v>
      </c>
      <c r="F727" s="3" t="n">
        <v>34.21</v>
      </c>
      <c r="G727" s="3" t="n">
        <v>11.48</v>
      </c>
      <c r="H727" s="3" t="n">
        <v>13.72</v>
      </c>
      <c r="I727" s="3" t="n">
        <v>4.16</v>
      </c>
      <c r="J727" s="3" t="n">
        <v>125.37</v>
      </c>
    </row>
    <row r="728">
      <c r="A728" s="8" t="n">
        <v>45490</v>
      </c>
      <c r="B728" s="3" t="n">
        <v>22.74</v>
      </c>
      <c r="C728" s="3" t="n">
        <v>47.05</v>
      </c>
      <c r="D728" s="3" t="n">
        <v>61.75</v>
      </c>
      <c r="E728" s="3" t="n">
        <v>11.82</v>
      </c>
      <c r="F728" s="3" t="n">
        <v>34.47</v>
      </c>
      <c r="G728" s="3" t="n">
        <v>11.49</v>
      </c>
      <c r="H728" s="3" t="n">
        <v>13.65</v>
      </c>
      <c r="I728" s="3" t="n">
        <v>4.06</v>
      </c>
      <c r="J728" s="3" t="n">
        <v>125.82</v>
      </c>
    </row>
    <row r="729">
      <c r="A729" s="8" t="n">
        <v>45491</v>
      </c>
      <c r="B729" s="3" t="n">
        <v>22.65</v>
      </c>
      <c r="C729" s="3" t="n">
        <v>47.4</v>
      </c>
      <c r="D729" s="3" t="n">
        <v>61.17</v>
      </c>
      <c r="E729" s="3" t="n">
        <v>11.67</v>
      </c>
      <c r="F729" s="3" t="n">
        <v>34.38</v>
      </c>
      <c r="G729" s="3" t="n">
        <v>11.17</v>
      </c>
      <c r="H729" s="3" t="n">
        <v>13.16</v>
      </c>
      <c r="I729" s="3" t="n">
        <v>3.94</v>
      </c>
      <c r="J729" s="3" t="n">
        <v>124.02</v>
      </c>
    </row>
    <row r="730">
      <c r="A730" s="8" t="n">
        <v>45492</v>
      </c>
      <c r="B730" s="3" t="n">
        <v>22.56</v>
      </c>
      <c r="C730" s="3" t="n">
        <v>47.29</v>
      </c>
      <c r="D730" s="3" t="n">
        <v>61.12</v>
      </c>
      <c r="E730" s="3" t="n">
        <v>11.73</v>
      </c>
      <c r="F730" s="3" t="n">
        <v>34.1</v>
      </c>
      <c r="G730" s="3" t="n">
        <v>11.17</v>
      </c>
      <c r="H730" s="3" t="n">
        <v>13.05</v>
      </c>
      <c r="I730" s="3" t="n">
        <v>3.89</v>
      </c>
      <c r="J730" s="3" t="n">
        <v>124</v>
      </c>
    </row>
    <row r="731">
      <c r="A731" s="8" t="n">
        <v>45495</v>
      </c>
      <c r="B731" s="3" t="n">
        <v>22.67</v>
      </c>
      <c r="C731" s="3" t="n">
        <v>47.17</v>
      </c>
      <c r="D731" s="3" t="n">
        <v>61.05</v>
      </c>
      <c r="E731" s="3" t="n">
        <v>11.81</v>
      </c>
      <c r="F731" s="3" t="n">
        <v>34.45</v>
      </c>
      <c r="G731" s="3" t="n">
        <v>11.29</v>
      </c>
      <c r="H731" s="3" t="n">
        <v>13.55</v>
      </c>
      <c r="I731" s="3" t="n">
        <v>3.92</v>
      </c>
      <c r="J731" s="3" t="n">
        <v>124.26</v>
      </c>
    </row>
    <row r="732">
      <c r="A732" s="8" t="n">
        <v>45496</v>
      </c>
      <c r="B732" s="3" t="n">
        <v>22.37</v>
      </c>
      <c r="C732" s="3" t="n">
        <v>47.05</v>
      </c>
      <c r="D732" s="3" t="n">
        <v>60.23</v>
      </c>
      <c r="E732" s="3" t="n">
        <v>11.78</v>
      </c>
      <c r="F732" s="3" t="n">
        <v>34.16</v>
      </c>
      <c r="G732" s="3" t="n">
        <v>11.18</v>
      </c>
      <c r="H732" s="3" t="n">
        <v>13.18</v>
      </c>
      <c r="I732" s="3" t="n">
        <v>3.92</v>
      </c>
      <c r="J732" s="3" t="n">
        <v>122.95</v>
      </c>
    </row>
    <row r="733">
      <c r="A733" s="8" t="n">
        <v>45497</v>
      </c>
      <c r="B733" s="3" t="n">
        <v>22.1</v>
      </c>
      <c r="C733" s="3" t="n">
        <v>46.65</v>
      </c>
      <c r="D733" s="3" t="n">
        <v>60.6</v>
      </c>
      <c r="E733" s="3" t="n">
        <v>11.79</v>
      </c>
      <c r="F733" s="3" t="n">
        <v>34.2</v>
      </c>
      <c r="G733" s="3" t="n">
        <v>11.03</v>
      </c>
      <c r="H733" s="3" t="n">
        <v>12.87</v>
      </c>
      <c r="I733" s="3" t="n">
        <v>3.95</v>
      </c>
      <c r="J733" s="3" t="n">
        <v>122.86</v>
      </c>
    </row>
    <row r="734">
      <c r="A734" s="8" t="n">
        <v>45498</v>
      </c>
      <c r="B734" s="3" t="n">
        <v>22.25</v>
      </c>
      <c r="C734" s="3" t="n">
        <v>45.95</v>
      </c>
      <c r="D734" s="3" t="n">
        <v>60.57</v>
      </c>
      <c r="E734" s="3" t="n">
        <v>11.85</v>
      </c>
      <c r="F734" s="3" t="n">
        <v>34.1</v>
      </c>
      <c r="G734" s="3" t="n">
        <v>10.9</v>
      </c>
      <c r="H734" s="3" t="n">
        <v>13.18</v>
      </c>
      <c r="I734" s="3" t="n">
        <v>4.03</v>
      </c>
      <c r="J734" s="3" t="n">
        <v>122.41</v>
      </c>
    </row>
    <row r="735">
      <c r="A735" s="8" t="n">
        <v>45499</v>
      </c>
      <c r="B735" s="3" t="n">
        <v>22.58</v>
      </c>
      <c r="C735" s="3" t="n">
        <v>46.92</v>
      </c>
      <c r="D735" s="3" t="n">
        <v>61.47</v>
      </c>
      <c r="E735" s="3" t="n">
        <v>11.88</v>
      </c>
      <c r="F735" s="3" t="n">
        <v>34.6</v>
      </c>
      <c r="G735" s="3" t="n">
        <v>10.95</v>
      </c>
      <c r="H735" s="3" t="n">
        <v>13.33</v>
      </c>
      <c r="I735" s="3" t="n">
        <v>4.18</v>
      </c>
      <c r="J735" s="3" t="n">
        <v>123.98</v>
      </c>
    </row>
    <row r="736">
      <c r="A736" s="8" t="n">
        <v>45502</v>
      </c>
      <c r="B736" s="3" t="n">
        <v>22.44</v>
      </c>
      <c r="C736" s="3" t="n">
        <v>46.48</v>
      </c>
      <c r="D736" s="3" t="n">
        <v>61.58</v>
      </c>
      <c r="E736" s="3" t="n">
        <v>11.82</v>
      </c>
      <c r="F736" s="3" t="n">
        <v>34.68</v>
      </c>
      <c r="G736" s="3" t="n">
        <v>10.85</v>
      </c>
      <c r="H736" s="3" t="n">
        <v>13.51</v>
      </c>
      <c r="I736" s="3" t="n">
        <v>4.16</v>
      </c>
      <c r="J736" s="3" t="n">
        <v>123.46</v>
      </c>
    </row>
    <row r="737">
      <c r="A737" s="8" t="n">
        <v>45503</v>
      </c>
      <c r="B737" s="3" t="n">
        <v>22.19</v>
      </c>
      <c r="C737" s="3" t="n">
        <v>45.86</v>
      </c>
      <c r="D737" s="3" t="n">
        <v>60.22</v>
      </c>
      <c r="E737" s="3" t="n">
        <v>11.64</v>
      </c>
      <c r="F737" s="3" t="n">
        <v>34.97</v>
      </c>
      <c r="G737" s="3" t="n">
        <v>10.76</v>
      </c>
      <c r="H737" s="3" t="n">
        <v>13.03</v>
      </c>
      <c r="I737" s="3" t="n">
        <v>4.12</v>
      </c>
      <c r="J737" s="3" t="n">
        <v>122.71</v>
      </c>
    </row>
    <row r="738">
      <c r="A738" s="8" t="n">
        <v>45504</v>
      </c>
      <c r="B738" s="3" t="n">
        <v>22.15</v>
      </c>
      <c r="C738" s="3" t="n">
        <v>50.66</v>
      </c>
      <c r="D738" s="3" t="n">
        <v>61.63</v>
      </c>
      <c r="E738" s="3" t="n">
        <v>11.58</v>
      </c>
      <c r="F738" s="3" t="n">
        <v>35.17</v>
      </c>
      <c r="G738" s="3" t="n">
        <v>10.85</v>
      </c>
      <c r="H738" s="3" t="n">
        <v>13.26</v>
      </c>
      <c r="I738" s="3" t="n">
        <v>4.07</v>
      </c>
      <c r="J738" s="3" t="n">
        <v>124.04</v>
      </c>
    </row>
    <row r="739">
      <c r="A739" s="8" t="n">
        <v>45505</v>
      </c>
      <c r="B739" s="3" t="n">
        <v>22.9</v>
      </c>
      <c r="C739" s="3" t="n">
        <v>52.84</v>
      </c>
      <c r="D739" s="3" t="n">
        <v>60.25</v>
      </c>
      <c r="E739" s="3" t="n">
        <v>11.74</v>
      </c>
      <c r="F739" s="3" t="n">
        <v>35.05</v>
      </c>
      <c r="G739" s="3" t="n">
        <v>10.87</v>
      </c>
      <c r="H739" s="3" t="n">
        <v>13.29</v>
      </c>
      <c r="I739" s="3" t="n">
        <v>4.21</v>
      </c>
      <c r="J739" s="3" t="n">
        <v>123.74</v>
      </c>
    </row>
    <row r="740">
      <c r="A740" s="8" t="n">
        <v>45506</v>
      </c>
      <c r="B740" s="3" t="n">
        <v>23.41</v>
      </c>
      <c r="C740" s="3" t="n">
        <v>49.82</v>
      </c>
      <c r="D740" s="3" t="n">
        <v>59.41</v>
      </c>
      <c r="E740" s="3" t="n">
        <v>11.87</v>
      </c>
      <c r="F740" s="3" t="n">
        <v>34.9</v>
      </c>
      <c r="G740" s="3" t="n">
        <v>10.86</v>
      </c>
      <c r="H740" s="3" t="n">
        <v>13.76</v>
      </c>
      <c r="I740" s="3" t="n">
        <v>4.3</v>
      </c>
      <c r="J740" s="3" t="n">
        <v>122.38</v>
      </c>
    </row>
    <row r="741">
      <c r="A741" s="8" t="n">
        <v>45509</v>
      </c>
      <c r="B741" s="3" t="n">
        <v>22.69</v>
      </c>
      <c r="C741" s="3" t="n">
        <v>48.86</v>
      </c>
      <c r="D741" s="3" t="n">
        <v>57.02</v>
      </c>
      <c r="E741" s="3" t="n">
        <v>11.85</v>
      </c>
      <c r="F741" s="3" t="n">
        <v>34.6</v>
      </c>
      <c r="G741" s="3" t="n">
        <v>10.86</v>
      </c>
      <c r="H741" s="3" t="n">
        <v>13.97</v>
      </c>
      <c r="I741" s="3" t="n">
        <v>4.31</v>
      </c>
      <c r="J741" s="3" t="n">
        <v>121.77</v>
      </c>
    </row>
    <row r="742">
      <c r="A742" s="8" t="n">
        <v>45510</v>
      </c>
      <c r="B742" s="3" t="n">
        <v>23.24</v>
      </c>
      <c r="C742" s="3" t="n">
        <v>48.97</v>
      </c>
      <c r="D742" s="3" t="n">
        <v>57.31</v>
      </c>
      <c r="E742" s="3" t="n">
        <v>12.01</v>
      </c>
      <c r="F742" s="3" t="n">
        <v>34.9</v>
      </c>
      <c r="G742" s="3" t="n">
        <v>10.89</v>
      </c>
      <c r="H742" s="3" t="n">
        <v>14.25</v>
      </c>
      <c r="I742" s="3" t="n">
        <v>4.29</v>
      </c>
      <c r="J742" s="3" t="n">
        <v>122.74</v>
      </c>
    </row>
    <row r="743">
      <c r="A743" s="8" t="n">
        <v>45511</v>
      </c>
      <c r="B743" s="3" t="n">
        <v>23.18</v>
      </c>
      <c r="C743" s="3" t="n">
        <v>48.32</v>
      </c>
      <c r="D743" s="3" t="n">
        <v>57.2</v>
      </c>
      <c r="E743" s="3" t="n">
        <v>12.51</v>
      </c>
      <c r="F743" s="3" t="n">
        <v>35.07</v>
      </c>
      <c r="G743" s="3" t="n">
        <v>11.14</v>
      </c>
      <c r="H743" s="3" t="n">
        <v>14.6</v>
      </c>
      <c r="I743" s="3" t="n">
        <v>4.41</v>
      </c>
      <c r="J743" s="3" t="n">
        <v>124.04</v>
      </c>
    </row>
    <row r="744">
      <c r="A744" s="8" t="n">
        <v>45512</v>
      </c>
      <c r="B744" s="3" t="n">
        <v>23.82</v>
      </c>
      <c r="C744" s="3" t="n">
        <v>49.69</v>
      </c>
      <c r="D744" s="3" t="n">
        <v>56.85</v>
      </c>
      <c r="E744" s="3" t="n">
        <v>12.36</v>
      </c>
      <c r="F744" s="3" t="n">
        <v>36.14</v>
      </c>
      <c r="G744" s="3" t="n">
        <v>11.35</v>
      </c>
      <c r="H744" s="3" t="n">
        <v>14.5</v>
      </c>
      <c r="I744" s="3" t="n">
        <v>4.5</v>
      </c>
      <c r="J744" s="3" t="n">
        <v>125.3</v>
      </c>
    </row>
    <row r="745">
      <c r="A745" s="8" t="n">
        <v>45513</v>
      </c>
      <c r="B745" s="3" t="n">
        <v>23.58</v>
      </c>
      <c r="C745" s="3" t="n">
        <v>49.7</v>
      </c>
      <c r="D745" s="3" t="n">
        <v>57.06</v>
      </c>
      <c r="E745" s="3" t="n">
        <v>12.45</v>
      </c>
      <c r="F745" s="3" t="n">
        <v>36.16</v>
      </c>
      <c r="G745" s="3" t="n">
        <v>12.02</v>
      </c>
      <c r="H745" s="3" t="n">
        <v>15.45</v>
      </c>
      <c r="I745" s="3" t="n">
        <v>4.43</v>
      </c>
      <c r="J745" s="3" t="n">
        <v>127.13</v>
      </c>
    </row>
    <row r="746">
      <c r="A746" s="8" t="n">
        <v>45516</v>
      </c>
      <c r="B746" s="3" t="n">
        <v>22.96</v>
      </c>
      <c r="C746" s="3" t="n">
        <v>50.58</v>
      </c>
      <c r="D746" s="3" t="n">
        <v>56.77</v>
      </c>
      <c r="E746" s="3" t="n">
        <v>12.39</v>
      </c>
      <c r="F746" s="3" t="n">
        <v>36.65</v>
      </c>
      <c r="G746" s="3" t="n">
        <v>12.2</v>
      </c>
      <c r="H746" s="3" t="n">
        <v>15.72</v>
      </c>
      <c r="I746" s="3" t="n">
        <v>4.3</v>
      </c>
      <c r="J746" s="3" t="n">
        <v>127.65</v>
      </c>
    </row>
    <row r="747">
      <c r="A747" s="8" t="n">
        <v>45517</v>
      </c>
      <c r="B747" s="3" t="n">
        <v>23.07</v>
      </c>
      <c r="C747" s="3" t="n">
        <v>51.13</v>
      </c>
      <c r="D747" s="3" t="n">
        <v>56.52</v>
      </c>
      <c r="E747" s="3" t="n">
        <v>12.57</v>
      </c>
      <c r="F747" s="3" t="n">
        <v>37.13</v>
      </c>
      <c r="G747" s="3" t="n">
        <v>12.64</v>
      </c>
      <c r="H747" s="3" t="n">
        <v>15.7</v>
      </c>
      <c r="I747" s="3" t="n">
        <v>4.41</v>
      </c>
      <c r="J747" s="3" t="n">
        <v>128.78</v>
      </c>
    </row>
    <row r="748">
      <c r="A748" s="8" t="n">
        <v>45518</v>
      </c>
      <c r="B748" s="3" t="n">
        <v>23.38</v>
      </c>
      <c r="C748" s="3" t="n">
        <v>51.54</v>
      </c>
      <c r="D748" s="3" t="n">
        <v>56</v>
      </c>
      <c r="E748" s="3" t="n">
        <v>12.56</v>
      </c>
      <c r="F748" s="3" t="n">
        <v>37.45</v>
      </c>
      <c r="G748" s="3" t="n">
        <v>12.7</v>
      </c>
      <c r="H748" s="3" t="n">
        <v>16.19</v>
      </c>
      <c r="I748" s="3" t="n">
        <v>4.41</v>
      </c>
      <c r="J748" s="3" t="n">
        <v>129.68</v>
      </c>
    </row>
    <row r="749">
      <c r="A749" s="8" t="n">
        <v>45519</v>
      </c>
      <c r="B749" s="3" t="n">
        <v>23.85</v>
      </c>
      <c r="C749" s="3" t="n">
        <v>52.7</v>
      </c>
      <c r="D749" s="3" t="n">
        <v>56.23</v>
      </c>
      <c r="E749" s="3" t="n">
        <v>13.03</v>
      </c>
      <c r="F749" s="3" t="n">
        <v>37.31</v>
      </c>
      <c r="G749" s="3" t="n">
        <v>12.71</v>
      </c>
      <c r="H749" s="3" t="n">
        <v>16.74</v>
      </c>
      <c r="I749" s="3" t="n">
        <v>4.42</v>
      </c>
      <c r="J749" s="3" t="n">
        <v>130.49</v>
      </c>
    </row>
    <row r="750">
      <c r="A750" s="8" t="n">
        <v>45520</v>
      </c>
      <c r="B750" s="3" t="n">
        <v>23.2</v>
      </c>
      <c r="C750" s="3" t="n">
        <v>53.25</v>
      </c>
      <c r="D750" s="3" t="n">
        <v>56.08</v>
      </c>
      <c r="E750" s="3" t="n">
        <v>13.01</v>
      </c>
      <c r="F750" s="3" t="n">
        <v>37.29</v>
      </c>
      <c r="G750" s="3" t="n">
        <v>12.49</v>
      </c>
      <c r="H750" s="3" t="n">
        <v>16.13</v>
      </c>
      <c r="I750" s="3" t="n">
        <v>4.27</v>
      </c>
      <c r="J750" s="3" t="n">
        <v>130.29</v>
      </c>
    </row>
    <row r="751">
      <c r="A751" s="8" t="n">
        <v>45523</v>
      </c>
      <c r="B751" s="3" t="n">
        <v>23.6</v>
      </c>
      <c r="C751" s="3" t="n">
        <v>51.79</v>
      </c>
      <c r="D751" s="3" t="n">
        <v>56.98</v>
      </c>
      <c r="E751" s="3" t="n">
        <v>13.01</v>
      </c>
      <c r="F751" s="3" t="n">
        <v>36.05</v>
      </c>
      <c r="G751" s="3" t="n">
        <v>12.79</v>
      </c>
      <c r="H751" s="3" t="n">
        <v>17</v>
      </c>
      <c r="I751" s="3" t="n">
        <v>4.45</v>
      </c>
      <c r="J751" s="3" t="n">
        <v>131.98</v>
      </c>
    </row>
    <row r="752">
      <c r="A752" s="8" t="n">
        <v>45524</v>
      </c>
      <c r="B752" s="3" t="n">
        <v>23.65</v>
      </c>
      <c r="C752" s="3" t="n">
        <v>53.11</v>
      </c>
      <c r="D752" s="3" t="n">
        <v>57.2</v>
      </c>
      <c r="E752" s="3" t="n">
        <v>12.94</v>
      </c>
      <c r="F752" s="3" t="n">
        <v>36.05</v>
      </c>
      <c r="G752" s="3" t="n">
        <v>12.9</v>
      </c>
      <c r="H752" s="3" t="n">
        <v>16.96</v>
      </c>
      <c r="I752" s="3" t="n">
        <v>4.56</v>
      </c>
      <c r="J752" s="3" t="n">
        <v>132.44</v>
      </c>
    </row>
    <row r="753">
      <c r="A753" s="8" t="n">
        <v>45525</v>
      </c>
      <c r="B753" s="3" t="n">
        <v>23.5</v>
      </c>
      <c r="C753" s="3" t="n">
        <v>53.43</v>
      </c>
      <c r="D753" s="3" t="n">
        <v>58.3</v>
      </c>
      <c r="E753" s="3" t="n">
        <v>12.94</v>
      </c>
      <c r="F753" s="3" t="n">
        <v>36.07</v>
      </c>
      <c r="G753" s="3" t="n">
        <v>12.96</v>
      </c>
      <c r="H753" s="3" t="n">
        <v>16.9</v>
      </c>
      <c r="I753" s="3" t="n">
        <v>4.56</v>
      </c>
      <c r="J753" s="3" t="n">
        <v>132.74</v>
      </c>
    </row>
    <row r="754">
      <c r="A754" s="8" t="n">
        <v>45526</v>
      </c>
      <c r="B754" s="3" t="n">
        <v>23.38</v>
      </c>
      <c r="C754" s="3" t="n">
        <v>54.2</v>
      </c>
      <c r="D754" s="3" t="n">
        <v>58.38</v>
      </c>
      <c r="E754" s="3" t="n">
        <v>13</v>
      </c>
      <c r="F754" s="3" t="n">
        <v>35.95</v>
      </c>
      <c r="G754" s="3" t="n">
        <v>12.54</v>
      </c>
      <c r="H754" s="3" t="n">
        <v>16.54</v>
      </c>
      <c r="I754" s="3" t="n">
        <v>4.37</v>
      </c>
      <c r="J754" s="3" t="n">
        <v>131.57</v>
      </c>
    </row>
    <row r="755">
      <c r="A755" s="8" t="n">
        <v>45527</v>
      </c>
      <c r="B755" s="3" t="n">
        <v>23.61</v>
      </c>
      <c r="C755" s="3" t="n">
        <v>53.81</v>
      </c>
      <c r="D755" s="3" t="n">
        <v>57.4</v>
      </c>
      <c r="E755" s="3" t="n">
        <v>13.08</v>
      </c>
      <c r="F755" s="3" t="n">
        <v>36.99</v>
      </c>
      <c r="G755" s="3" t="n">
        <v>12.74</v>
      </c>
      <c r="H755" s="3" t="n">
        <v>17.75</v>
      </c>
      <c r="I755" s="3" t="n">
        <v>4.49</v>
      </c>
      <c r="J755" s="3" t="n">
        <v>131.98</v>
      </c>
    </row>
    <row r="756">
      <c r="A756" s="8" t="n">
        <v>45530</v>
      </c>
      <c r="B756" s="3" t="n">
        <v>22.92</v>
      </c>
      <c r="C756" s="3" t="n">
        <v>54.08</v>
      </c>
      <c r="D756" s="3" t="n">
        <v>58.05</v>
      </c>
      <c r="E756" s="3" t="n">
        <v>13.08</v>
      </c>
      <c r="F756" s="3" t="n">
        <v>36.64</v>
      </c>
      <c r="G756" s="3" t="n">
        <v>12.8</v>
      </c>
      <c r="H756" s="3" t="n">
        <v>17.7</v>
      </c>
      <c r="I756" s="3" t="n">
        <v>4.48</v>
      </c>
      <c r="J756" s="3" t="n">
        <v>133.21</v>
      </c>
    </row>
    <row r="757">
      <c r="A757" s="8" t="n">
        <v>45531</v>
      </c>
      <c r="B757" s="3" t="n">
        <v>22.85</v>
      </c>
      <c r="C757" s="3" t="n">
        <v>54</v>
      </c>
      <c r="D757" s="3" t="n">
        <v>59.8</v>
      </c>
      <c r="E757" s="3" t="n">
        <v>13.03</v>
      </c>
      <c r="F757" s="3" t="n">
        <v>36.64</v>
      </c>
      <c r="G757" s="3" t="n">
        <v>12.65</v>
      </c>
      <c r="H757" s="3" t="n">
        <v>18.35</v>
      </c>
      <c r="I757" s="3" t="n">
        <v>4.46</v>
      </c>
      <c r="J757" s="3" t="n">
        <v>133.01</v>
      </c>
    </row>
    <row r="758">
      <c r="A758" s="8" t="n">
        <v>45532</v>
      </c>
      <c r="B758" s="3" t="n">
        <v>22.55</v>
      </c>
      <c r="C758" s="3" t="n">
        <v>54</v>
      </c>
      <c r="D758" s="3" t="n">
        <v>59.37</v>
      </c>
      <c r="E758" s="3" t="n">
        <v>12.95</v>
      </c>
      <c r="F758" s="3" t="n">
        <v>36.41</v>
      </c>
      <c r="G758" s="3" t="n">
        <v>12.7</v>
      </c>
      <c r="H758" s="3" t="n">
        <v>17.66</v>
      </c>
      <c r="I758" s="3" t="n">
        <v>4.46</v>
      </c>
      <c r="J758" s="3" t="n">
        <v>133.62</v>
      </c>
    </row>
    <row r="759">
      <c r="A759" s="8" t="n">
        <v>45533</v>
      </c>
      <c r="B759" s="3" t="n">
        <v>22.04</v>
      </c>
      <c r="C759" s="3" t="n">
        <v>53.54</v>
      </c>
      <c r="D759" s="3" t="n">
        <v>59.3</v>
      </c>
      <c r="E759" s="3" t="n">
        <v>12.86</v>
      </c>
      <c r="F759" s="3" t="n">
        <v>36.55</v>
      </c>
      <c r="G759" s="3" t="n">
        <v>12.54</v>
      </c>
      <c r="H759" s="3" t="n">
        <v>17.05</v>
      </c>
      <c r="I759" s="3" t="n">
        <v>4.29</v>
      </c>
      <c r="J759" s="3" t="n">
        <v>132.17</v>
      </c>
    </row>
    <row r="760">
      <c r="A760" s="8" t="n">
        <v>45534</v>
      </c>
      <c r="B760" s="3" t="n">
        <v>21.85</v>
      </c>
      <c r="C760" s="3" t="n">
        <v>54.15</v>
      </c>
      <c r="D760" s="3" t="n">
        <v>59.58</v>
      </c>
      <c r="E760" s="3" t="n">
        <v>12.86</v>
      </c>
      <c r="F760" s="3" t="n">
        <v>36.73</v>
      </c>
      <c r="G760" s="3" t="n">
        <v>12.68</v>
      </c>
      <c r="H760" s="3" t="n">
        <v>17.01</v>
      </c>
      <c r="I760" s="3" t="n">
        <v>4.24</v>
      </c>
      <c r="J760" s="3" t="n">
        <v>132.6</v>
      </c>
    </row>
    <row r="761">
      <c r="A761" s="8" t="n">
        <v>45537</v>
      </c>
      <c r="B761" s="3" t="n">
        <v>21.48</v>
      </c>
      <c r="C761" s="3" t="n">
        <v>52.35</v>
      </c>
      <c r="D761" s="3" t="n">
        <v>58.74</v>
      </c>
      <c r="E761" s="3" t="n">
        <v>12.87</v>
      </c>
      <c r="F761" s="3" t="n">
        <v>36.71</v>
      </c>
      <c r="G761" s="3" t="n">
        <v>12.43</v>
      </c>
      <c r="H761" s="3" t="n">
        <v>16.94</v>
      </c>
      <c r="I761" s="3" t="n">
        <v>4.28</v>
      </c>
      <c r="J761" s="3" t="n">
        <v>131.1</v>
      </c>
    </row>
    <row r="762">
      <c r="A762" s="8" t="n">
        <v>45538</v>
      </c>
      <c r="B762" s="3" t="n">
        <v>21.43</v>
      </c>
      <c r="C762" s="3" t="n">
        <v>52.8</v>
      </c>
      <c r="D762" s="3" t="n">
        <v>56.55</v>
      </c>
      <c r="E762" s="3" t="n">
        <v>12.8</v>
      </c>
      <c r="F762" s="3" t="n">
        <v>36.88</v>
      </c>
      <c r="G762" s="3" t="n">
        <v>12.15</v>
      </c>
      <c r="H762" s="3" t="n">
        <v>17.23</v>
      </c>
      <c r="I762" s="3" t="n">
        <v>4.37</v>
      </c>
      <c r="J762" s="3" t="n">
        <v>130.63</v>
      </c>
    </row>
    <row r="763">
      <c r="A763" s="8" t="n">
        <v>45539</v>
      </c>
      <c r="B763" s="3" t="n">
        <v>21.67</v>
      </c>
      <c r="C763" s="3" t="n">
        <v>53.39</v>
      </c>
      <c r="D763" s="3" t="n">
        <v>56.99</v>
      </c>
      <c r="E763" s="3" t="n">
        <v>12.99</v>
      </c>
      <c r="F763" s="3" t="n">
        <v>37.42</v>
      </c>
      <c r="G763" s="3" t="n">
        <v>12.55</v>
      </c>
      <c r="H763" s="3" t="n">
        <v>17.48</v>
      </c>
      <c r="I763" s="3" t="n">
        <v>4.44</v>
      </c>
      <c r="J763" s="3" t="n">
        <v>132.38</v>
      </c>
    </row>
    <row r="764">
      <c r="A764" s="8" t="n">
        <v>45540</v>
      </c>
      <c r="B764" s="3" t="n">
        <v>21.79</v>
      </c>
      <c r="C764" s="3" t="n">
        <v>53.99</v>
      </c>
      <c r="D764" s="3" t="n">
        <v>57.4</v>
      </c>
      <c r="E764" s="3" t="n">
        <v>12.97</v>
      </c>
      <c r="F764" s="3" t="n">
        <v>36.95</v>
      </c>
      <c r="G764" s="3" t="n">
        <v>12.59</v>
      </c>
      <c r="H764" s="3" t="n">
        <v>18.03</v>
      </c>
      <c r="I764" s="3" t="n">
        <v>4.55</v>
      </c>
      <c r="J764" s="3" t="n">
        <v>132.89</v>
      </c>
    </row>
    <row r="765">
      <c r="A765" s="8" t="n">
        <v>45541</v>
      </c>
      <c r="B765" s="3" t="n">
        <v>21.6</v>
      </c>
      <c r="C765" s="3" t="n">
        <v>52.88</v>
      </c>
      <c r="D765" s="3" t="n">
        <v>56.68</v>
      </c>
      <c r="E765" s="3" t="n">
        <v>12.99</v>
      </c>
      <c r="F765" s="3" t="n">
        <v>36.71</v>
      </c>
      <c r="G765" s="3" t="n">
        <v>12.23</v>
      </c>
      <c r="H765" s="3" t="n">
        <v>17.72</v>
      </c>
      <c r="I765" s="3" t="n">
        <v>4.48</v>
      </c>
      <c r="J765" s="3" t="n">
        <v>130.96</v>
      </c>
    </row>
    <row r="766">
      <c r="A766" s="8" t="n">
        <v>45544</v>
      </c>
      <c r="B766" s="3" t="n">
        <v>21.3</v>
      </c>
      <c r="C766" s="3" t="n">
        <v>52.45</v>
      </c>
      <c r="D766" s="3" t="n">
        <v>56.68</v>
      </c>
      <c r="E766" s="3" t="n">
        <v>13.11</v>
      </c>
      <c r="F766" s="3" t="n">
        <v>36.64</v>
      </c>
      <c r="G766" s="3" t="n">
        <v>12.3</v>
      </c>
      <c r="H766" s="3" t="n">
        <v>17.57</v>
      </c>
      <c r="I766" s="3" t="n">
        <v>4.5</v>
      </c>
      <c r="J766" s="3" t="n">
        <v>131.04</v>
      </c>
    </row>
    <row r="767">
      <c r="A767" s="8" t="n">
        <v>45545</v>
      </c>
      <c r="B767" s="3" t="n">
        <v>21.6</v>
      </c>
      <c r="C767" s="3" t="n">
        <v>52.89</v>
      </c>
      <c r="D767" s="3" t="n">
        <v>56</v>
      </c>
      <c r="E767" s="3" t="n">
        <v>13.24</v>
      </c>
      <c r="F767" s="3" t="n">
        <v>36.62</v>
      </c>
      <c r="G767" s="3" t="n">
        <v>12.44</v>
      </c>
      <c r="H767" s="3" t="n">
        <v>17.68</v>
      </c>
      <c r="I767" s="3" t="n">
        <v>4.52</v>
      </c>
      <c r="J767" s="3" t="n">
        <v>130.63</v>
      </c>
    </row>
    <row r="768">
      <c r="A768" s="8" t="n">
        <v>45546</v>
      </c>
      <c r="B768" s="3" t="n">
        <v>21.6</v>
      </c>
      <c r="C768" s="3" t="n">
        <v>53.5</v>
      </c>
      <c r="D768" s="3" t="n">
        <v>57.59</v>
      </c>
      <c r="E768" s="3" t="n">
        <v>13.04</v>
      </c>
      <c r="F768" s="3" t="n">
        <v>36.4</v>
      </c>
      <c r="G768" s="3" t="n">
        <v>12.13</v>
      </c>
      <c r="H768" s="3" t="n">
        <v>18.15</v>
      </c>
      <c r="I768" s="3" t="n">
        <v>4.5</v>
      </c>
      <c r="J768" s="3" t="n">
        <v>131.21</v>
      </c>
    </row>
    <row r="769">
      <c r="A769" s="8" t="n">
        <v>45547</v>
      </c>
      <c r="B769" s="3" t="n">
        <v>21.1</v>
      </c>
      <c r="C769" s="3" t="n">
        <v>53.31</v>
      </c>
      <c r="D769" s="3" t="n">
        <v>58.11</v>
      </c>
      <c r="E769" s="3" t="n">
        <v>12.91</v>
      </c>
      <c r="F769" s="3" t="n">
        <v>36.1</v>
      </c>
      <c r="G769" s="3" t="n">
        <v>12.05</v>
      </c>
      <c r="H769" s="3" t="n">
        <v>18.38</v>
      </c>
      <c r="I769" s="3" t="n">
        <v>4.49</v>
      </c>
      <c r="J769" s="3" t="n">
        <v>130.31</v>
      </c>
    </row>
    <row r="770">
      <c r="A770" s="8" t="n">
        <v>45548</v>
      </c>
      <c r="B770" s="3" t="n">
        <v>21.16</v>
      </c>
      <c r="C770" s="3" t="n">
        <v>53.62</v>
      </c>
      <c r="D770" s="3" t="n">
        <v>58.5</v>
      </c>
      <c r="E770" s="3" t="n">
        <v>12.73</v>
      </c>
      <c r="F770" s="3" t="n">
        <v>36.19</v>
      </c>
      <c r="G770" s="3" t="n">
        <v>12.13</v>
      </c>
      <c r="H770" s="3" t="n">
        <v>18.94</v>
      </c>
      <c r="I770" s="3" t="n">
        <v>4.6</v>
      </c>
      <c r="J770" s="3" t="n">
        <v>131.21</v>
      </c>
    </row>
    <row r="771">
      <c r="A771" s="8" t="n">
        <v>45551</v>
      </c>
      <c r="B771" s="3" t="n">
        <v>21.11</v>
      </c>
      <c r="C771" s="3" t="n">
        <v>53</v>
      </c>
      <c r="D771" s="3" t="n">
        <v>58.5</v>
      </c>
      <c r="E771" s="3" t="n">
        <v>12.86</v>
      </c>
      <c r="F771" s="3" t="n">
        <v>36.4</v>
      </c>
      <c r="G771" s="3" t="n">
        <v>12.16</v>
      </c>
      <c r="H771" s="3" t="n">
        <v>19.36</v>
      </c>
      <c r="I771" s="3" t="n">
        <v>4.62</v>
      </c>
      <c r="J771" s="3" t="n">
        <v>131.38</v>
      </c>
    </row>
    <row r="772">
      <c r="A772" s="8" t="n">
        <v>45552</v>
      </c>
      <c r="B772" s="3" t="n">
        <v>20.95</v>
      </c>
      <c r="C772" s="3" t="n">
        <v>53.32</v>
      </c>
      <c r="D772" s="3" t="n">
        <v>58.22</v>
      </c>
      <c r="E772" s="3" t="n">
        <v>12.96</v>
      </c>
      <c r="F772" s="3" t="n">
        <v>35.96</v>
      </c>
      <c r="G772" s="3" t="n">
        <v>12.26</v>
      </c>
      <c r="H772" s="3" t="n">
        <v>19.07</v>
      </c>
      <c r="I772" s="3" t="n">
        <v>4.61</v>
      </c>
      <c r="J772" s="3" t="n">
        <v>131.33</v>
      </c>
    </row>
    <row r="773">
      <c r="A773" s="8" t="n">
        <v>45553</v>
      </c>
      <c r="B773" s="3" t="n">
        <v>20.65</v>
      </c>
      <c r="C773" s="3" t="n">
        <v>53.36</v>
      </c>
      <c r="D773" s="3" t="n">
        <v>57.54</v>
      </c>
      <c r="E773" s="3" t="n">
        <v>12.98</v>
      </c>
      <c r="F773" s="3" t="n">
        <v>35.59</v>
      </c>
      <c r="G773" s="3" t="n">
        <v>12.13</v>
      </c>
      <c r="H773" s="3" t="n">
        <v>19</v>
      </c>
      <c r="I773" s="3" t="n">
        <v>4.66</v>
      </c>
      <c r="J773" s="3" t="n">
        <v>130.05</v>
      </c>
    </row>
    <row r="774">
      <c r="A774" s="8" t="n">
        <v>45554</v>
      </c>
      <c r="B774" s="3" t="n">
        <v>20.48</v>
      </c>
      <c r="C774" s="3" t="n">
        <v>53.26</v>
      </c>
      <c r="D774" s="3" t="n">
        <v>58.23</v>
      </c>
      <c r="E774" s="3" t="n">
        <v>12.95</v>
      </c>
      <c r="F774" s="3" t="n">
        <v>35.36</v>
      </c>
      <c r="G774" s="3" t="n">
        <v>12</v>
      </c>
      <c r="H774" s="3" t="n">
        <v>18.86</v>
      </c>
      <c r="I774" s="3" t="n">
        <v>4.47</v>
      </c>
      <c r="J774" s="3" t="n">
        <v>129.37</v>
      </c>
    </row>
    <row r="775">
      <c r="A775" s="8" t="n">
        <v>45555</v>
      </c>
      <c r="B775" s="3" t="n">
        <v>19.92</v>
      </c>
      <c r="C775" s="3" t="n">
        <v>52.52</v>
      </c>
      <c r="D775" s="3" t="n">
        <v>57.35</v>
      </c>
      <c r="E775" s="3" t="n">
        <v>12.76</v>
      </c>
      <c r="F775" s="3" t="n">
        <v>35.01</v>
      </c>
      <c r="G775" s="3" t="n">
        <v>11.6</v>
      </c>
      <c r="H775" s="3" t="n">
        <v>18.04</v>
      </c>
      <c r="I775" s="3" t="n">
        <v>4.33</v>
      </c>
      <c r="J775" s="3" t="n">
        <v>127.63</v>
      </c>
    </row>
    <row r="776">
      <c r="A776" s="8" t="n">
        <v>45558</v>
      </c>
      <c r="B776" s="3" t="n">
        <v>19.8</v>
      </c>
      <c r="C776" s="3" t="n">
        <v>54.32</v>
      </c>
      <c r="D776" s="3" t="n">
        <v>57.53</v>
      </c>
      <c r="E776" s="3" t="n">
        <v>12.75</v>
      </c>
      <c r="F776" s="3" t="n">
        <v>35.13</v>
      </c>
      <c r="G776" s="3" t="n">
        <v>11.2</v>
      </c>
      <c r="H776" s="3" t="n">
        <v>17.71</v>
      </c>
      <c r="I776" s="3" t="n">
        <v>4.23</v>
      </c>
      <c r="J776" s="3" t="n">
        <v>127</v>
      </c>
    </row>
    <row r="777">
      <c r="A777" s="8" t="n">
        <v>45559</v>
      </c>
      <c r="B777" s="3" t="n">
        <v>20.03</v>
      </c>
      <c r="C777" s="3" t="n">
        <v>55.39</v>
      </c>
      <c r="D777" s="3" t="n">
        <v>60.34</v>
      </c>
      <c r="E777" s="3" t="n">
        <v>12.76</v>
      </c>
      <c r="F777" s="3" t="n">
        <v>35.42</v>
      </c>
      <c r="G777" s="3" t="n">
        <v>11.25</v>
      </c>
      <c r="H777" s="3" t="n">
        <v>18.66</v>
      </c>
      <c r="I777" s="3" t="n">
        <v>4.25</v>
      </c>
      <c r="J777" s="3" t="n">
        <v>128.68</v>
      </c>
    </row>
    <row r="778">
      <c r="A778" s="8" t="n">
        <v>45560</v>
      </c>
      <c r="B778" s="3" t="n">
        <v>19.83</v>
      </c>
      <c r="C778" s="3" t="n">
        <v>55.68</v>
      </c>
      <c r="D778" s="3" t="n">
        <v>60.61</v>
      </c>
      <c r="E778" s="3" t="n">
        <v>12.68</v>
      </c>
      <c r="F778" s="3" t="n">
        <v>35.35</v>
      </c>
      <c r="G778" s="3" t="n">
        <v>10.79</v>
      </c>
      <c r="H778" s="3" t="n">
        <v>18.07</v>
      </c>
      <c r="I778" s="3" t="n">
        <v>4.12</v>
      </c>
      <c r="J778" s="3" t="n">
        <v>127.92</v>
      </c>
    </row>
    <row r="779">
      <c r="A779" s="8" t="n">
        <v>45561</v>
      </c>
      <c r="B779" s="3" t="n">
        <v>20.18</v>
      </c>
      <c r="C779" s="3" t="n">
        <v>56.05</v>
      </c>
      <c r="D779" s="3" t="n">
        <v>64.25</v>
      </c>
      <c r="E779" s="3" t="n">
        <v>12.84</v>
      </c>
      <c r="F779" s="3" t="n">
        <v>35.47</v>
      </c>
      <c r="G779" s="3" t="n">
        <v>10.85</v>
      </c>
      <c r="H779" s="3" t="n">
        <v>18</v>
      </c>
      <c r="I779" s="3" t="n">
        <v>4.07</v>
      </c>
      <c r="J779" s="3" t="n">
        <v>129.33</v>
      </c>
    </row>
    <row r="780">
      <c r="A780" s="8" t="n">
        <v>45562</v>
      </c>
      <c r="B780" s="3" t="n">
        <v>20.07</v>
      </c>
      <c r="C780" s="3" t="n">
        <v>56.03</v>
      </c>
      <c r="D780" s="3" t="n">
        <v>63.96</v>
      </c>
      <c r="E780" s="3" t="n">
        <v>12.92</v>
      </c>
      <c r="F780" s="3" t="n">
        <v>35.37</v>
      </c>
      <c r="G780" s="3" t="n">
        <v>10.73</v>
      </c>
      <c r="H780" s="3" t="n">
        <v>17.83</v>
      </c>
      <c r="I780" s="3" t="n">
        <v>4</v>
      </c>
      <c r="J780" s="3" t="n">
        <v>129.04</v>
      </c>
    </row>
    <row r="781">
      <c r="A781" s="8" t="n">
        <v>45565</v>
      </c>
      <c r="B781" s="3" t="n">
        <v>20</v>
      </c>
      <c r="C781" s="3" t="n">
        <v>54.39</v>
      </c>
      <c r="D781" s="3" t="n">
        <v>63.51</v>
      </c>
      <c r="E781" s="3" t="n">
        <v>13.08</v>
      </c>
      <c r="F781" s="3" t="n">
        <v>35.5</v>
      </c>
      <c r="G781" s="3" t="n">
        <v>10.71</v>
      </c>
      <c r="H781" s="3" t="n">
        <v>18.06</v>
      </c>
      <c r="I781" s="3" t="n">
        <v>4</v>
      </c>
      <c r="J781" s="3" t="n">
        <v>128.43</v>
      </c>
    </row>
    <row r="782">
      <c r="A782" s="8" t="n">
        <v>45566</v>
      </c>
      <c r="B782" s="3" t="n">
        <v>19.86</v>
      </c>
      <c r="C782" s="3" t="n">
        <v>55.88</v>
      </c>
      <c r="D782" s="3" t="n">
        <v>63.82</v>
      </c>
      <c r="E782" s="3" t="n">
        <v>13.6</v>
      </c>
      <c r="F782" s="3" t="n">
        <v>35.75</v>
      </c>
      <c r="G782" s="3" t="n">
        <v>10.71</v>
      </c>
      <c r="H782" s="3" t="n">
        <v>17.87</v>
      </c>
      <c r="I782" s="3" t="n">
        <v>4.04</v>
      </c>
      <c r="J782" s="3" t="n">
        <v>128.86</v>
      </c>
    </row>
    <row r="783">
      <c r="A783" s="8" t="n">
        <v>45567</v>
      </c>
      <c r="B783" s="3" t="n">
        <v>20.05</v>
      </c>
      <c r="C783" s="3" t="n">
        <v>55.35</v>
      </c>
      <c r="D783" s="3" t="n">
        <v>64.17</v>
      </c>
      <c r="E783" s="3" t="n">
        <v>13.72</v>
      </c>
      <c r="F783" s="3" t="n">
        <v>35.46</v>
      </c>
      <c r="G783" s="3" t="n">
        <v>10.94</v>
      </c>
      <c r="H783" s="3" t="n">
        <v>18.35</v>
      </c>
      <c r="I783" s="3" t="n">
        <v>4.14</v>
      </c>
      <c r="J783" s="3" t="n">
        <v>129.85</v>
      </c>
    </row>
    <row r="784">
      <c r="A784" s="8" t="n">
        <v>45568</v>
      </c>
      <c r="B784" s="3" t="n">
        <v>19.77</v>
      </c>
      <c r="C784" s="3" t="n">
        <v>54.6</v>
      </c>
      <c r="D784" s="3" t="n">
        <v>62.94</v>
      </c>
      <c r="E784" s="3" t="n">
        <v>13.4</v>
      </c>
      <c r="F784" s="3" t="n">
        <v>35.12</v>
      </c>
      <c r="G784" s="3" t="n">
        <v>10.72</v>
      </c>
      <c r="H784" s="3" t="n">
        <v>17.96</v>
      </c>
      <c r="I784" s="3" t="n">
        <v>4.01</v>
      </c>
      <c r="J784" s="3" t="n">
        <v>128.03</v>
      </c>
    </row>
    <row r="785">
      <c r="A785" s="8" t="n">
        <v>45569</v>
      </c>
      <c r="B785" s="3" t="n">
        <v>19.95</v>
      </c>
      <c r="C785" s="3" t="n">
        <v>54.5</v>
      </c>
      <c r="D785" s="3" t="n">
        <v>62.48</v>
      </c>
      <c r="E785" s="3" t="n">
        <v>13.28</v>
      </c>
      <c r="F785" s="3" t="n">
        <v>35.08</v>
      </c>
      <c r="G785" s="3" t="n">
        <v>10.75</v>
      </c>
      <c r="H785" s="3" t="n">
        <v>18.11</v>
      </c>
      <c r="I785" s="3" t="n">
        <v>4.02</v>
      </c>
      <c r="J785" s="3" t="n">
        <v>128.2</v>
      </c>
    </row>
    <row r="786">
      <c r="A786" s="8" t="n">
        <v>45572</v>
      </c>
      <c r="B786" s="3" t="n">
        <v>19.93</v>
      </c>
      <c r="C786" s="3" t="n">
        <v>53.4</v>
      </c>
      <c r="D786" s="3" t="n">
        <v>63.03</v>
      </c>
      <c r="E786" s="3" t="n">
        <v>13.17</v>
      </c>
      <c r="F786" s="3" t="n">
        <v>34.43</v>
      </c>
      <c r="G786" s="3" t="n">
        <v>10.55</v>
      </c>
      <c r="H786" s="3" t="n">
        <v>17.7</v>
      </c>
      <c r="I786" s="3" t="n">
        <v>3.97</v>
      </c>
      <c r="J786" s="3" t="n">
        <v>128.45</v>
      </c>
    </row>
    <row r="787">
      <c r="A787" s="8" t="n">
        <v>45573</v>
      </c>
      <c r="B787" s="3" t="n">
        <v>19.65</v>
      </c>
      <c r="C787" s="3" t="n">
        <v>54.31</v>
      </c>
      <c r="D787" s="3" t="n">
        <v>61.12</v>
      </c>
      <c r="E787" s="3" t="n">
        <v>13.08</v>
      </c>
      <c r="F787" s="3" t="n">
        <v>34.3</v>
      </c>
      <c r="G787" s="3" t="n">
        <v>10.7</v>
      </c>
      <c r="H787" s="3" t="n">
        <v>18</v>
      </c>
      <c r="I787" s="3" t="n">
        <v>3.94</v>
      </c>
      <c r="J787" s="3" t="n">
        <v>127.93</v>
      </c>
    </row>
    <row r="788">
      <c r="A788" s="8" t="n">
        <v>45574</v>
      </c>
      <c r="B788" s="3" t="n">
        <v>19.24</v>
      </c>
      <c r="C788" s="3" t="n">
        <v>54</v>
      </c>
      <c r="D788" s="3" t="n">
        <v>60.96</v>
      </c>
      <c r="E788" s="3" t="n">
        <v>13.08</v>
      </c>
      <c r="F788" s="3" t="n">
        <v>33.85</v>
      </c>
      <c r="G788" s="3" t="n">
        <v>10.68</v>
      </c>
      <c r="H788" s="3" t="n">
        <v>17.64</v>
      </c>
      <c r="I788" s="3" t="n">
        <v>3.89</v>
      </c>
      <c r="J788" s="3" t="n">
        <v>126.35</v>
      </c>
    </row>
    <row r="789">
      <c r="A789" s="8" t="n">
        <v>45575</v>
      </c>
      <c r="B789" s="3" t="n">
        <v>19.27</v>
      </c>
      <c r="C789" s="3" t="n">
        <v>54.18</v>
      </c>
      <c r="D789" s="3" t="n">
        <v>61.25</v>
      </c>
      <c r="E789" s="3" t="n">
        <v>13.11</v>
      </c>
      <c r="F789" s="3" t="n">
        <v>33.84</v>
      </c>
      <c r="G789" s="3" t="n">
        <v>10.75</v>
      </c>
      <c r="H789" s="3" t="n">
        <v>18.1</v>
      </c>
      <c r="I789" s="3" t="n">
        <v>3.81</v>
      </c>
      <c r="J789" s="3" t="n">
        <v>126.8</v>
      </c>
    </row>
    <row r="790">
      <c r="A790" s="8" t="n">
        <v>45576</v>
      </c>
      <c r="B790" s="3" t="n">
        <v>19.13</v>
      </c>
      <c r="C790" s="3" t="n">
        <v>54.17</v>
      </c>
      <c r="D790" s="3" t="n">
        <v>62.13</v>
      </c>
      <c r="E790" s="3" t="n">
        <v>12.88</v>
      </c>
      <c r="F790" s="3" t="n">
        <v>33.86</v>
      </c>
      <c r="G790" s="3" t="n">
        <v>10.69</v>
      </c>
      <c r="H790" s="3" t="n">
        <v>18.71</v>
      </c>
      <c r="I790" s="3" t="n">
        <v>3.87</v>
      </c>
      <c r="J790" s="3" t="n">
        <v>126.47</v>
      </c>
    </row>
    <row r="791">
      <c r="A791" s="8" t="n">
        <v>45579</v>
      </c>
      <c r="B791" s="3" t="n">
        <v>19.1</v>
      </c>
      <c r="C791" s="3" t="n">
        <v>55.04</v>
      </c>
      <c r="D791" s="3" t="n">
        <v>61.93</v>
      </c>
      <c r="E791" s="3" t="n">
        <v>12.92</v>
      </c>
      <c r="F791" s="3" t="n">
        <v>33.97</v>
      </c>
      <c r="G791" s="3" t="n">
        <v>10.88</v>
      </c>
      <c r="H791" s="3" t="n">
        <v>18.91</v>
      </c>
      <c r="I791" s="3" t="n">
        <v>3.85</v>
      </c>
      <c r="J791" s="3" t="n">
        <v>127.5</v>
      </c>
    </row>
    <row r="792">
      <c r="A792" s="8" t="n">
        <v>45580</v>
      </c>
      <c r="B792" s="3" t="n">
        <v>19.1</v>
      </c>
      <c r="C792" s="3" t="n">
        <v>56.53</v>
      </c>
      <c r="D792" s="3" t="n">
        <v>61.17</v>
      </c>
      <c r="E792" s="3" t="n">
        <v>12.88</v>
      </c>
      <c r="F792" s="3" t="n">
        <v>33.93</v>
      </c>
      <c r="G792" s="3" t="n">
        <v>10.84</v>
      </c>
      <c r="H792" s="3" t="n">
        <v>18.95</v>
      </c>
      <c r="I792" s="3" t="n">
        <v>3.85</v>
      </c>
      <c r="J792" s="3" t="n">
        <v>127.4</v>
      </c>
    </row>
    <row r="793">
      <c r="A793" s="8" t="n">
        <v>45581</v>
      </c>
      <c r="B793" s="3" t="n">
        <v>19.25</v>
      </c>
      <c r="C793" s="3" t="n">
        <v>57.19</v>
      </c>
      <c r="D793" s="3" t="n">
        <v>62.34</v>
      </c>
      <c r="E793" s="3" t="n">
        <v>12.94</v>
      </c>
      <c r="F793" s="3" t="n">
        <v>34.04</v>
      </c>
      <c r="G793" s="3" t="n">
        <v>10.98</v>
      </c>
      <c r="H793" s="3" t="n">
        <v>18.79</v>
      </c>
      <c r="I793" s="3" t="n">
        <v>3.86</v>
      </c>
      <c r="J793" s="3" t="n">
        <v>128.07</v>
      </c>
    </row>
    <row r="794">
      <c r="A794" s="8" t="n">
        <v>45582</v>
      </c>
      <c r="B794" s="3" t="n">
        <v>19.45</v>
      </c>
      <c r="C794" s="3" t="n">
        <v>56.22</v>
      </c>
      <c r="D794" s="3" t="n">
        <v>60.76</v>
      </c>
      <c r="E794" s="3" t="n">
        <v>12.86</v>
      </c>
      <c r="F794" s="3" t="n">
        <v>33.99</v>
      </c>
      <c r="G794" s="3" t="n">
        <v>10.72</v>
      </c>
      <c r="H794" s="3" t="n">
        <v>18.71</v>
      </c>
      <c r="I794" s="3" t="n">
        <v>3.72</v>
      </c>
      <c r="J794" s="3" t="n">
        <v>127.31</v>
      </c>
    </row>
    <row r="795">
      <c r="A795" s="8" t="n">
        <v>45583</v>
      </c>
      <c r="B795" s="3" t="n">
        <v>19.19</v>
      </c>
      <c r="C795" s="3" t="n">
        <v>55.22</v>
      </c>
      <c r="D795" s="3" t="n">
        <v>60.55</v>
      </c>
      <c r="E795" s="3" t="n">
        <v>12.88</v>
      </c>
      <c r="F795" s="3" t="n">
        <v>33.82</v>
      </c>
      <c r="G795" s="3" t="n">
        <v>10.65</v>
      </c>
      <c r="H795" s="3" t="n">
        <v>18.4</v>
      </c>
      <c r="I795" s="3" t="n">
        <v>3.76</v>
      </c>
      <c r="J795" s="3" t="n">
        <v>127</v>
      </c>
    </row>
    <row r="796">
      <c r="A796" s="8" t="n">
        <v>45586</v>
      </c>
      <c r="B796" s="3" t="n">
        <v>19.15</v>
      </c>
      <c r="C796" s="3" t="n">
        <v>55.04</v>
      </c>
      <c r="D796" s="3" t="n">
        <v>60.33</v>
      </c>
      <c r="E796" s="3" t="n">
        <v>12.83</v>
      </c>
      <c r="F796" s="3" t="n">
        <v>33.95</v>
      </c>
      <c r="G796" s="3" t="n">
        <v>10.85</v>
      </c>
      <c r="H796" s="3" t="n">
        <v>18.45</v>
      </c>
      <c r="I796" s="3" t="n">
        <v>3.65</v>
      </c>
      <c r="J796" s="3" t="n">
        <v>126.75</v>
      </c>
    </row>
    <row r="797">
      <c r="A797" s="8" t="n">
        <v>45587</v>
      </c>
      <c r="B797" s="3" t="n">
        <v>18.9</v>
      </c>
      <c r="C797" s="3" t="n">
        <v>55.95</v>
      </c>
      <c r="D797" s="3" t="n">
        <v>60.41</v>
      </c>
      <c r="E797" s="3" t="n">
        <v>12.82</v>
      </c>
      <c r="F797" s="3" t="n">
        <v>34.34</v>
      </c>
      <c r="G797" s="3" t="n">
        <v>10.61</v>
      </c>
      <c r="H797" s="3" t="n">
        <v>18.16</v>
      </c>
      <c r="I797" s="3" t="n">
        <v>3.69</v>
      </c>
      <c r="J797" s="3" t="n">
        <v>126.5</v>
      </c>
    </row>
    <row r="798">
      <c r="A798" s="8" t="n">
        <v>45588</v>
      </c>
      <c r="B798" s="3" t="n">
        <v>19</v>
      </c>
      <c r="C798" s="3" t="n">
        <v>56.2</v>
      </c>
      <c r="D798" s="3" t="n">
        <v>59.35</v>
      </c>
      <c r="E798" s="3" t="n">
        <v>12.75</v>
      </c>
      <c r="F798" s="3" t="n">
        <v>34.32</v>
      </c>
      <c r="G798" s="3" t="n">
        <v>10.62</v>
      </c>
      <c r="H798" s="3" t="n">
        <v>17.96</v>
      </c>
      <c r="I798" s="3" t="n">
        <v>3.81</v>
      </c>
      <c r="J798" s="3" t="n">
        <v>125.81</v>
      </c>
    </row>
    <row r="799">
      <c r="A799" s="8" t="n">
        <v>45589</v>
      </c>
      <c r="B799" s="3" t="n">
        <v>19.1</v>
      </c>
      <c r="C799" s="3" t="n">
        <v>56.27</v>
      </c>
      <c r="D799" s="3" t="n">
        <v>59.7</v>
      </c>
      <c r="E799" s="3" t="n">
        <v>12.83</v>
      </c>
      <c r="F799" s="3" t="n">
        <v>34.36</v>
      </c>
      <c r="G799" s="3" t="n">
        <v>10.78</v>
      </c>
      <c r="H799" s="3" t="n">
        <v>18.83</v>
      </c>
      <c r="I799" s="3" t="n">
        <v>3.78</v>
      </c>
      <c r="J799" s="3" t="n">
        <v>126.6</v>
      </c>
    </row>
    <row r="800">
      <c r="A800" s="8" t="n">
        <v>45590</v>
      </c>
      <c r="B800" s="3" t="n">
        <v>19.22</v>
      </c>
      <c r="C800" s="3" t="n">
        <v>55.47</v>
      </c>
      <c r="D800" s="3" t="n">
        <v>61.73</v>
      </c>
      <c r="E800" s="3" t="n">
        <v>12.75</v>
      </c>
      <c r="F800" s="3" t="n">
        <v>34.3</v>
      </c>
      <c r="G800" s="3" t="n">
        <v>10.71</v>
      </c>
      <c r="H800" s="3" t="n">
        <v>18.47</v>
      </c>
      <c r="I800" s="3" t="n">
        <v>3.64</v>
      </c>
      <c r="J800" s="3" t="n">
        <v>126.35</v>
      </c>
    </row>
    <row r="801">
      <c r="A801" s="8" t="n">
        <v>45593</v>
      </c>
      <c r="B801" s="3" t="n">
        <v>19.8</v>
      </c>
      <c r="C801" s="3" t="n">
        <v>56.26</v>
      </c>
      <c r="D801" s="3" t="n">
        <v>62.88</v>
      </c>
      <c r="E801" s="3" t="n">
        <v>12.89</v>
      </c>
      <c r="F801" s="3" t="n">
        <v>34.38</v>
      </c>
      <c r="G801" s="3" t="n">
        <v>10.89</v>
      </c>
      <c r="H801" s="3" t="n">
        <v>18.51</v>
      </c>
      <c r="I801" s="3" t="n">
        <v>3.71</v>
      </c>
      <c r="J801" s="3" t="n">
        <v>127.84</v>
      </c>
    </row>
    <row r="802">
      <c r="A802" s="8" t="n">
        <v>45594</v>
      </c>
      <c r="B802" s="3" t="n">
        <v>19.9</v>
      </c>
      <c r="C802" s="3" t="n">
        <v>56.94</v>
      </c>
      <c r="D802" s="3" t="n">
        <v>62.66</v>
      </c>
      <c r="E802" s="3" t="n">
        <v>12.98</v>
      </c>
      <c r="F802" s="3" t="n">
        <v>34.5</v>
      </c>
      <c r="G802" s="3" t="n">
        <v>10.83</v>
      </c>
      <c r="H802" s="3" t="n">
        <v>18.5</v>
      </c>
      <c r="I802" s="3" t="n">
        <v>3.6</v>
      </c>
      <c r="J802" s="3" t="n">
        <v>127.25</v>
      </c>
    </row>
    <row r="803">
      <c r="A803" s="8" t="n">
        <v>45595</v>
      </c>
      <c r="B803" s="3" t="n">
        <v>19.78</v>
      </c>
      <c r="C803" s="3" t="n">
        <v>54</v>
      </c>
      <c r="D803" s="3" t="n">
        <v>62.47</v>
      </c>
      <c r="E803" s="3" t="n">
        <v>12.93</v>
      </c>
      <c r="F803" s="3" t="n">
        <v>34.5</v>
      </c>
      <c r="G803" s="3" t="n">
        <v>10.78</v>
      </c>
      <c r="H803" s="3" t="n">
        <v>18.62</v>
      </c>
      <c r="I803" s="3" t="n">
        <v>3.6</v>
      </c>
      <c r="J803" s="3" t="n">
        <v>127.23</v>
      </c>
    </row>
    <row r="804">
      <c r="A804" s="8" t="n">
        <v>45596</v>
      </c>
      <c r="B804" s="3" t="n">
        <v>19.9</v>
      </c>
      <c r="C804" s="3" t="n">
        <v>54.11</v>
      </c>
      <c r="D804" s="3" t="n">
        <v>62.06</v>
      </c>
      <c r="E804" s="3" t="n">
        <v>12.64</v>
      </c>
      <c r="F804" s="3" t="n">
        <v>34.27</v>
      </c>
      <c r="G804" s="3" t="n">
        <v>10.62</v>
      </c>
      <c r="H804" s="3" t="n">
        <v>18.57</v>
      </c>
      <c r="I804" s="3" t="n">
        <v>3.52</v>
      </c>
      <c r="J804" s="3" t="n">
        <v>126.26</v>
      </c>
    </row>
    <row r="805">
      <c r="A805" s="8" t="n">
        <v>45597</v>
      </c>
      <c r="B805" s="3" t="n">
        <v>19.45</v>
      </c>
      <c r="C805" s="3" t="n">
        <v>54.7</v>
      </c>
      <c r="D805" s="3" t="n">
        <v>62.03</v>
      </c>
      <c r="E805" s="3" t="n">
        <v>12.54</v>
      </c>
      <c r="F805" s="3" t="n">
        <v>34.28</v>
      </c>
      <c r="G805" s="3" t="n">
        <v>10.42</v>
      </c>
      <c r="H805" s="3" t="n">
        <v>18.11</v>
      </c>
      <c r="I805" s="3" t="n">
        <v>3.33</v>
      </c>
      <c r="J805" s="3" t="n">
        <v>124.6</v>
      </c>
    </row>
    <row r="806">
      <c r="A806" s="8" t="n">
        <v>45600</v>
      </c>
      <c r="B806" s="3" t="n">
        <v>20.46</v>
      </c>
      <c r="C806" s="3" t="n">
        <v>56.19</v>
      </c>
      <c r="D806" s="3" t="n">
        <v>62.67</v>
      </c>
      <c r="E806" s="3" t="n">
        <v>12.67</v>
      </c>
      <c r="F806" s="3" t="n">
        <v>34.64</v>
      </c>
      <c r="G806" s="3" t="n">
        <v>10.86</v>
      </c>
      <c r="H806" s="3" t="n">
        <v>18.82</v>
      </c>
      <c r="I806" s="3" t="n">
        <v>3.46</v>
      </c>
      <c r="J806" s="3" t="n">
        <v>127.15</v>
      </c>
    </row>
    <row r="807">
      <c r="A807" s="8" t="n">
        <v>45601</v>
      </c>
      <c r="B807" s="3" t="n">
        <v>20.47</v>
      </c>
      <c r="C807" s="3" t="n">
        <v>56.01</v>
      </c>
      <c r="D807" s="3" t="n">
        <v>62.12</v>
      </c>
      <c r="E807" s="3" t="n">
        <v>12.68</v>
      </c>
      <c r="F807" s="3" t="n">
        <v>35.11</v>
      </c>
      <c r="G807" s="3" t="n">
        <v>10.97</v>
      </c>
      <c r="H807" s="3" t="n">
        <v>18.7</v>
      </c>
      <c r="I807" s="3" t="n">
        <v>3.41</v>
      </c>
      <c r="J807" s="3" t="n">
        <v>127.15</v>
      </c>
    </row>
    <row r="808">
      <c r="A808" s="8" t="n">
        <v>45602</v>
      </c>
      <c r="B808" s="3" t="n">
        <v>20.7</v>
      </c>
      <c r="C808" s="3" t="n">
        <v>56.09</v>
      </c>
      <c r="D808" s="3" t="n">
        <v>61.42</v>
      </c>
      <c r="E808" s="3" t="n">
        <v>12.5</v>
      </c>
      <c r="F808" s="3" t="n">
        <v>34.61</v>
      </c>
      <c r="G808" s="3" t="n">
        <v>10.65</v>
      </c>
      <c r="H808" s="3" t="n">
        <v>18.7</v>
      </c>
      <c r="I808" s="3" t="n">
        <v>3.39</v>
      </c>
      <c r="J808" s="3" t="n">
        <v>126.3</v>
      </c>
    </row>
    <row r="809">
      <c r="A809" s="8" t="n">
        <v>45603</v>
      </c>
      <c r="B809" s="3" t="n">
        <v>20.1</v>
      </c>
      <c r="C809" s="3" t="n">
        <v>55.77</v>
      </c>
      <c r="D809" s="3" t="n">
        <v>63.56</v>
      </c>
      <c r="E809" s="3" t="n">
        <v>12.55</v>
      </c>
      <c r="F809" s="3" t="n">
        <v>34.8</v>
      </c>
      <c r="G809" s="3" t="n">
        <v>10.71</v>
      </c>
      <c r="H809" s="3" t="n">
        <v>18.08</v>
      </c>
      <c r="I809" s="3" t="n">
        <v>3.3</v>
      </c>
      <c r="J809" s="3" t="n">
        <v>126.06</v>
      </c>
    </row>
    <row r="810">
      <c r="A810" s="8" t="n">
        <v>45604</v>
      </c>
      <c r="B810" s="3" t="n">
        <v>19.45</v>
      </c>
      <c r="C810" s="3" t="n">
        <v>55.09</v>
      </c>
      <c r="D810" s="3" t="n">
        <v>60.63</v>
      </c>
      <c r="E810" s="3" t="n">
        <v>12.33</v>
      </c>
      <c r="F810" s="3" t="n">
        <v>34.29</v>
      </c>
      <c r="G810" s="3" t="n">
        <v>10.31</v>
      </c>
      <c r="H810" s="3" t="n">
        <v>16.97</v>
      </c>
      <c r="I810" s="3" t="n">
        <v>3.19</v>
      </c>
      <c r="J810" s="3" t="n">
        <v>124.5</v>
      </c>
    </row>
    <row r="811">
      <c r="A811" s="8" t="n">
        <v>45607</v>
      </c>
      <c r="B811" s="3" t="n">
        <v>19.72</v>
      </c>
      <c r="C811" s="3" t="n">
        <v>55.49</v>
      </c>
      <c r="D811" s="3" t="n">
        <v>58.65</v>
      </c>
      <c r="E811" s="3" t="n">
        <v>12.51</v>
      </c>
      <c r="F811" s="3" t="n">
        <v>34.2</v>
      </c>
      <c r="G811" s="3" t="n">
        <v>10.16</v>
      </c>
      <c r="H811" s="3" t="n">
        <v>16.74</v>
      </c>
      <c r="I811" s="3" t="n">
        <v>3.17</v>
      </c>
      <c r="J811" s="3" t="n">
        <v>124.35</v>
      </c>
    </row>
    <row r="812">
      <c r="A812" s="8" t="n">
        <v>45608</v>
      </c>
      <c r="B812" s="3" t="n">
        <v>19.96</v>
      </c>
      <c r="C812" s="3" t="n">
        <v>55.42</v>
      </c>
      <c r="D812" s="3" t="n">
        <v>57.32</v>
      </c>
      <c r="E812" s="3" t="n">
        <v>12.58</v>
      </c>
      <c r="F812" s="3" t="n">
        <v>33.74</v>
      </c>
      <c r="G812" s="3" t="n">
        <v>10.31</v>
      </c>
      <c r="H812" s="3" t="n">
        <v>16.72</v>
      </c>
      <c r="I812" s="3" t="n">
        <v>3.31</v>
      </c>
      <c r="J812" s="3" t="n">
        <v>124.2</v>
      </c>
    </row>
    <row r="813">
      <c r="A813" s="8" t="n">
        <v>45609</v>
      </c>
      <c r="B813" s="3" t="n">
        <v>20.08</v>
      </c>
      <c r="C813" s="3" t="n">
        <v>54.7</v>
      </c>
      <c r="D813" s="3" t="n">
        <v>57.16</v>
      </c>
      <c r="E813" s="3" t="n">
        <v>12.73</v>
      </c>
      <c r="F813" s="3" t="n">
        <v>33.54</v>
      </c>
      <c r="G813" s="3" t="n">
        <v>10.23</v>
      </c>
      <c r="H813" s="3" t="n">
        <v>16.58</v>
      </c>
      <c r="I813" s="3" t="n">
        <v>3.1</v>
      </c>
      <c r="J813" s="3" t="n">
        <v>124.33</v>
      </c>
    </row>
    <row r="814">
      <c r="A814" s="8" t="n">
        <v>45610</v>
      </c>
      <c r="B814" s="3" t="n">
        <v>20.11</v>
      </c>
      <c r="C814" s="3" t="n">
        <v>54.35</v>
      </c>
      <c r="D814" s="3" t="n">
        <v>56.84</v>
      </c>
      <c r="E814" s="3" t="n">
        <v>12.64</v>
      </c>
      <c r="F814" s="3" t="n">
        <v>33.41</v>
      </c>
      <c r="G814" s="3" t="n">
        <v>10.27</v>
      </c>
      <c r="H814" s="3" t="n">
        <v>16.49</v>
      </c>
      <c r="I814" s="3" t="n">
        <v>3.17</v>
      </c>
      <c r="J814" s="3" t="n">
        <v>124.27</v>
      </c>
    </row>
    <row r="815">
      <c r="A815" s="8" t="n">
        <v>45614</v>
      </c>
      <c r="B815" s="3" t="n">
        <v>20.17</v>
      </c>
      <c r="C815" s="3" t="n">
        <v>54</v>
      </c>
      <c r="D815" s="3" t="n">
        <v>57.55</v>
      </c>
      <c r="E815" s="3" t="n">
        <v>12.42</v>
      </c>
      <c r="F815" s="3" t="n">
        <v>33.53</v>
      </c>
      <c r="G815" s="3" t="n">
        <v>10</v>
      </c>
      <c r="H815" s="3" t="n">
        <v>16.3</v>
      </c>
      <c r="I815" s="3" t="n">
        <v>2.95</v>
      </c>
      <c r="J815" s="3" t="n">
        <v>124.41</v>
      </c>
    </row>
    <row r="816">
      <c r="A816" s="8" t="n">
        <v>45615</v>
      </c>
      <c r="B816" s="3" t="n">
        <v>20.41</v>
      </c>
      <c r="C816" s="3" t="n">
        <v>54.13</v>
      </c>
      <c r="D816" s="3" t="n">
        <v>57.68</v>
      </c>
      <c r="E816" s="3" t="n">
        <v>12.43</v>
      </c>
      <c r="F816" s="3" t="n">
        <v>34.2</v>
      </c>
      <c r="G816" s="3" t="n">
        <v>10.02</v>
      </c>
      <c r="H816" s="3" t="n">
        <v>16.56</v>
      </c>
      <c r="I816" s="3" t="n">
        <v>3.02</v>
      </c>
      <c r="J816" s="3" t="n">
        <v>124.88</v>
      </c>
    </row>
    <row r="817">
      <c r="A817" s="8" t="n">
        <v>45617</v>
      </c>
      <c r="B817" s="3" t="n">
        <v>19.91</v>
      </c>
      <c r="C817" s="3" t="n">
        <v>53.73</v>
      </c>
      <c r="D817" s="3" t="n">
        <v>57.62</v>
      </c>
      <c r="E817" s="3" t="n">
        <v>12.39</v>
      </c>
      <c r="F817" s="3" t="n">
        <v>33.48</v>
      </c>
      <c r="G817" s="3" t="n">
        <v>9.82</v>
      </c>
      <c r="H817" s="3" t="n">
        <v>15.68</v>
      </c>
      <c r="I817" s="3" t="n">
        <v>2.88</v>
      </c>
      <c r="J817" s="3" t="n">
        <v>123.6</v>
      </c>
    </row>
    <row r="818">
      <c r="A818" s="8" t="n">
        <v>45618</v>
      </c>
      <c r="B818" s="3" t="n">
        <v>20.16</v>
      </c>
      <c r="C818" s="3" t="n">
        <v>54.01</v>
      </c>
      <c r="D818" s="3" t="n">
        <v>58.18</v>
      </c>
      <c r="E818" s="3" t="n">
        <v>12.68</v>
      </c>
      <c r="F818" s="3" t="n">
        <v>33.95</v>
      </c>
      <c r="G818" s="3" t="n">
        <v>10.02</v>
      </c>
      <c r="H818" s="3" t="n">
        <v>16.15</v>
      </c>
      <c r="I818" s="3" t="n">
        <v>2.98</v>
      </c>
      <c r="J818" s="3" t="n">
        <v>126.02</v>
      </c>
    </row>
    <row r="819">
      <c r="A819" s="8" t="n">
        <v>45621</v>
      </c>
      <c r="B819" s="3" t="n">
        <v>20.34</v>
      </c>
      <c r="C819" s="3" t="n">
        <v>52.15</v>
      </c>
      <c r="D819" s="3" t="n">
        <v>58.17</v>
      </c>
      <c r="E819" s="3" t="n">
        <v>12.54</v>
      </c>
      <c r="F819" s="3" t="n">
        <v>34.07</v>
      </c>
      <c r="G819" s="3" t="n">
        <v>10.14</v>
      </c>
      <c r="H819" s="3" t="n">
        <v>16.21</v>
      </c>
      <c r="I819" s="3" t="n">
        <v>3.02</v>
      </c>
      <c r="J819" s="3" t="n">
        <v>125.67</v>
      </c>
    </row>
    <row r="820">
      <c r="A820" s="8" t="n">
        <v>45622</v>
      </c>
      <c r="B820" s="3" t="n">
        <v>20.78</v>
      </c>
      <c r="C820" s="3" t="n">
        <v>52.78</v>
      </c>
      <c r="D820" s="3" t="n">
        <v>57.43</v>
      </c>
      <c r="E820" s="3" t="n">
        <v>12.61</v>
      </c>
      <c r="F820" s="3" t="n">
        <v>34.13</v>
      </c>
      <c r="G820" s="3" t="n">
        <v>10.18</v>
      </c>
      <c r="H820" s="3" t="n">
        <v>17.02</v>
      </c>
      <c r="I820" s="3" t="n">
        <v>3.05</v>
      </c>
      <c r="J820" s="3" t="n">
        <v>126.65</v>
      </c>
    </row>
    <row r="821">
      <c r="A821" s="8" t="n">
        <v>45623</v>
      </c>
      <c r="B821" s="3" t="n">
        <v>20.24</v>
      </c>
      <c r="C821" s="3" t="n">
        <v>51.91</v>
      </c>
      <c r="D821" s="3" t="n">
        <v>58.13</v>
      </c>
      <c r="E821" s="3" t="n">
        <v>12.55</v>
      </c>
      <c r="F821" s="3" t="n">
        <v>33.61</v>
      </c>
      <c r="G821" s="3" t="n">
        <v>9.76</v>
      </c>
      <c r="H821" s="3" t="n">
        <v>16.14</v>
      </c>
      <c r="I821" s="3" t="n">
        <v>2.88</v>
      </c>
      <c r="J821" s="3" t="n">
        <v>124.1</v>
      </c>
    </row>
    <row r="822">
      <c r="A822" s="8" t="n">
        <v>45624</v>
      </c>
      <c r="B822" s="3" t="n">
        <v>19.42</v>
      </c>
      <c r="C822" s="3" t="n">
        <v>52.91</v>
      </c>
      <c r="D822" s="3" t="n">
        <v>57.53</v>
      </c>
      <c r="E822" s="3" t="n">
        <v>12.4</v>
      </c>
      <c r="F822" s="3" t="n">
        <v>33.43</v>
      </c>
      <c r="G822" s="3" t="n">
        <v>9.15</v>
      </c>
      <c r="H822" s="3" t="n">
        <v>14.5</v>
      </c>
      <c r="I822" s="3" t="n">
        <v>2.71</v>
      </c>
      <c r="J822" s="3" t="n">
        <v>121.3</v>
      </c>
    </row>
    <row r="823">
      <c r="A823" s="8" t="n">
        <v>45625</v>
      </c>
      <c r="B823" s="3" t="n">
        <v>19.45</v>
      </c>
      <c r="C823" s="3" t="n">
        <v>53.94</v>
      </c>
      <c r="D823" s="3" t="n">
        <v>58.78</v>
      </c>
      <c r="E823" s="3" t="n">
        <v>12.73</v>
      </c>
      <c r="F823" s="3" t="n">
        <v>33.53</v>
      </c>
      <c r="G823" s="3" t="n">
        <v>9.26</v>
      </c>
      <c r="H823" s="3" t="n">
        <v>15.06</v>
      </c>
      <c r="I823" s="3" t="n">
        <v>2.7</v>
      </c>
      <c r="J823" s="3" t="n">
        <v>122.32</v>
      </c>
    </row>
    <row r="824">
      <c r="A824" s="8" t="n">
        <v>45628</v>
      </c>
      <c r="B824" s="3" t="n">
        <v>18.86</v>
      </c>
      <c r="C824" s="3" t="n">
        <v>53.85</v>
      </c>
      <c r="D824" s="3" t="n">
        <v>58.92</v>
      </c>
      <c r="E824" s="3" t="n">
        <v>13.25</v>
      </c>
      <c r="F824" s="3" t="n">
        <v>33.63</v>
      </c>
      <c r="G824" s="3" t="n">
        <v>9.369999999999999</v>
      </c>
      <c r="H824" s="3" t="n">
        <v>14.99</v>
      </c>
      <c r="I824" s="3" t="n">
        <v>2.67</v>
      </c>
      <c r="J824" s="3" t="n">
        <v>121.88</v>
      </c>
    </row>
    <row r="825">
      <c r="A825" s="8" t="n">
        <v>45629</v>
      </c>
      <c r="B825" s="3" t="n">
        <v>18.76</v>
      </c>
      <c r="C825" s="3" t="n">
        <v>54.6</v>
      </c>
      <c r="D825" s="3" t="n">
        <v>58.47</v>
      </c>
      <c r="E825" s="3" t="n">
        <v>13.85</v>
      </c>
      <c r="F825" s="3" t="n">
        <v>35.04</v>
      </c>
      <c r="G825" s="3" t="n">
        <v>9.460000000000001</v>
      </c>
      <c r="H825" s="3" t="n">
        <v>15.4</v>
      </c>
      <c r="I825" s="3" t="n">
        <v>2.71</v>
      </c>
      <c r="J825" s="3" t="n">
        <v>122.68</v>
      </c>
    </row>
    <row r="826">
      <c r="A826" s="8" t="n">
        <v>45630</v>
      </c>
      <c r="B826" s="3" t="n">
        <v>19.28</v>
      </c>
      <c r="C826" s="3" t="n">
        <v>55</v>
      </c>
      <c r="D826" s="3" t="n">
        <v>57.33</v>
      </c>
      <c r="E826" s="3" t="n">
        <v>13.93</v>
      </c>
      <c r="F826" s="3" t="n">
        <v>35</v>
      </c>
      <c r="G826" s="3" t="n">
        <v>9.57</v>
      </c>
      <c r="H826" s="3" t="n">
        <v>15.66</v>
      </c>
      <c r="I826" s="3" t="n">
        <v>2.62</v>
      </c>
      <c r="J826" s="3" t="n">
        <v>122.75</v>
      </c>
    </row>
    <row r="827">
      <c r="A827" s="8" t="n">
        <v>45631</v>
      </c>
      <c r="B827" s="3" t="n">
        <v>19.72</v>
      </c>
      <c r="C827" s="3" t="n">
        <v>54.93</v>
      </c>
      <c r="D827" s="3" t="n">
        <v>57.8</v>
      </c>
      <c r="E827" s="3" t="n">
        <v>14.42</v>
      </c>
      <c r="F827" s="3" t="n">
        <v>35.4</v>
      </c>
      <c r="G827" s="3" t="n">
        <v>9.779999999999999</v>
      </c>
      <c r="H827" s="3" t="n">
        <v>15.96</v>
      </c>
      <c r="I827" s="3" t="n">
        <v>2.59</v>
      </c>
      <c r="J827" s="3" t="n">
        <v>124.51</v>
      </c>
    </row>
    <row r="828">
      <c r="A828" s="8" t="n">
        <v>45632</v>
      </c>
      <c r="B828" s="3" t="n">
        <v>19.2</v>
      </c>
      <c r="C828" s="3" t="n">
        <v>55.6</v>
      </c>
      <c r="D828" s="3" t="n">
        <v>56.81</v>
      </c>
      <c r="E828" s="3" t="n">
        <v>14.22</v>
      </c>
      <c r="F828" s="3" t="n">
        <v>35.42</v>
      </c>
      <c r="G828" s="3" t="n">
        <v>9.93</v>
      </c>
      <c r="H828" s="3" t="n">
        <v>15.63</v>
      </c>
      <c r="I828" s="3" t="n">
        <v>2.47</v>
      </c>
      <c r="J828" s="3" t="n">
        <v>122.46</v>
      </c>
    </row>
    <row r="829">
      <c r="A829" s="8" t="n">
        <v>45635</v>
      </c>
      <c r="B829" s="3" t="n">
        <v>19.13</v>
      </c>
      <c r="C829" s="3" t="n">
        <v>55.75</v>
      </c>
      <c r="D829" s="3" t="n">
        <v>59.83</v>
      </c>
      <c r="E829" s="3" t="n">
        <v>14.21</v>
      </c>
      <c r="F829" s="3" t="n">
        <v>35.66</v>
      </c>
      <c r="G829" s="3" t="n">
        <v>10</v>
      </c>
      <c r="H829" s="3" t="n">
        <v>15.39</v>
      </c>
      <c r="I829" s="3" t="n">
        <v>2.41</v>
      </c>
      <c r="J829" s="3" t="n">
        <v>123.76</v>
      </c>
    </row>
    <row r="830">
      <c r="A830" s="8" t="n">
        <v>45636</v>
      </c>
      <c r="B830" s="3" t="n">
        <v>19.58</v>
      </c>
      <c r="C830" s="3" t="n">
        <v>56.88</v>
      </c>
      <c r="D830" s="3" t="n">
        <v>59.77</v>
      </c>
      <c r="E830" s="3" t="n">
        <v>14.27</v>
      </c>
      <c r="F830" s="3" t="n">
        <v>36.07</v>
      </c>
      <c r="G830" s="3" t="n">
        <v>10.16</v>
      </c>
      <c r="H830" s="3" t="n">
        <v>15.49</v>
      </c>
      <c r="I830" s="3" t="n">
        <v>2.52</v>
      </c>
      <c r="J830" s="3" t="n">
        <v>124.78</v>
      </c>
    </row>
    <row r="831">
      <c r="A831" s="8" t="n">
        <v>45637</v>
      </c>
      <c r="B831" s="3" t="n">
        <v>19.86</v>
      </c>
      <c r="C831" s="3" t="n">
        <v>58.55</v>
      </c>
      <c r="D831" s="3" t="n">
        <v>58.84</v>
      </c>
      <c r="E831" s="3" t="n">
        <v>13.8</v>
      </c>
      <c r="F831" s="3" t="n">
        <v>36.96</v>
      </c>
      <c r="G831" s="3" t="n">
        <v>10.39</v>
      </c>
      <c r="H831" s="3" t="n">
        <v>15.91</v>
      </c>
      <c r="I831" s="3" t="n">
        <v>2.67</v>
      </c>
      <c r="J831" s="3" t="n">
        <v>126.61</v>
      </c>
    </row>
    <row r="832">
      <c r="A832" s="8" t="n">
        <v>45638</v>
      </c>
      <c r="B832" s="3" t="n">
        <v>19.37</v>
      </c>
      <c r="C832" s="3" t="n">
        <v>57.8</v>
      </c>
      <c r="D832" s="3" t="n">
        <v>56.71</v>
      </c>
      <c r="E832" s="3" t="n">
        <v>13.1</v>
      </c>
      <c r="F832" s="3" t="n">
        <v>36.56</v>
      </c>
      <c r="G832" s="3" t="n">
        <v>10.28</v>
      </c>
      <c r="H832" s="3" t="n">
        <v>13.68</v>
      </c>
      <c r="I832" s="3" t="n">
        <v>2.7</v>
      </c>
      <c r="J832" s="3" t="n">
        <v>122.72</v>
      </c>
    </row>
    <row r="833">
      <c r="A833" s="8" t="n">
        <v>45639</v>
      </c>
      <c r="B833" s="3" t="n">
        <v>19.01</v>
      </c>
      <c r="C833" s="3" t="n">
        <v>57.66</v>
      </c>
      <c r="D833" s="3" t="n">
        <v>55.86</v>
      </c>
      <c r="E833" s="3" t="n">
        <v>13.08</v>
      </c>
      <c r="F833" s="3" t="n">
        <v>36.64</v>
      </c>
      <c r="G833" s="3" t="n">
        <v>10.22</v>
      </c>
      <c r="H833" s="3" t="n">
        <v>13.66</v>
      </c>
      <c r="I833" s="3" t="n">
        <v>2.61</v>
      </c>
      <c r="J833" s="3" t="n">
        <v>121.63</v>
      </c>
    </row>
    <row r="834">
      <c r="A834" s="8" t="n">
        <v>45642</v>
      </c>
      <c r="B834" s="3" t="n">
        <v>18.5</v>
      </c>
      <c r="C834" s="3" t="n">
        <v>57.11</v>
      </c>
      <c r="D834" s="3" t="n">
        <v>55.83</v>
      </c>
      <c r="E834" s="3" t="n">
        <v>12.84</v>
      </c>
      <c r="F834" s="3" t="n">
        <v>36.2</v>
      </c>
      <c r="G834" s="3" t="n">
        <v>10.12</v>
      </c>
      <c r="H834" s="3" t="n">
        <v>13.26</v>
      </c>
      <c r="I834" s="3" t="n">
        <v>2.57</v>
      </c>
      <c r="J834" s="3" t="n">
        <v>120.22</v>
      </c>
    </row>
    <row r="835">
      <c r="A835" s="8" t="n">
        <v>45643</v>
      </c>
      <c r="B835" s="3" t="n">
        <v>18.91</v>
      </c>
      <c r="C835" s="3" t="n">
        <v>57.9</v>
      </c>
      <c r="D835" s="3" t="n">
        <v>56.11</v>
      </c>
      <c r="E835" s="3" t="n">
        <v>13.1</v>
      </c>
      <c r="F835" s="3" t="n">
        <v>37.04</v>
      </c>
      <c r="G835" s="3" t="n">
        <v>10.12</v>
      </c>
      <c r="H835" s="3" t="n">
        <v>13.37</v>
      </c>
      <c r="I835" s="3" t="n">
        <v>2.28</v>
      </c>
      <c r="J835" s="3" t="n">
        <v>121.6</v>
      </c>
    </row>
    <row r="836">
      <c r="A836" s="8" t="n">
        <v>45644</v>
      </c>
      <c r="B836" s="3" t="n">
        <v>18.15</v>
      </c>
      <c r="C836" s="3" t="n">
        <v>57.05</v>
      </c>
      <c r="D836" s="3" t="n">
        <v>54.81</v>
      </c>
      <c r="E836" s="3" t="n">
        <v>12.76</v>
      </c>
      <c r="F836" s="3" t="n">
        <v>36.87</v>
      </c>
      <c r="G836" s="3" t="n">
        <v>9.859999999999999</v>
      </c>
      <c r="H836" s="3" t="n">
        <v>12.6</v>
      </c>
      <c r="I836" s="3" t="n">
        <v>2.12</v>
      </c>
      <c r="J836" s="3" t="n">
        <v>118.2</v>
      </c>
    </row>
    <row r="837">
      <c r="A837" s="8" t="n">
        <v>45645</v>
      </c>
      <c r="B837" s="3" t="n">
        <v>18.5</v>
      </c>
      <c r="C837" s="3" t="n">
        <v>56.46</v>
      </c>
      <c r="D837" s="3" t="n">
        <v>53.77</v>
      </c>
      <c r="E837" s="3" t="n">
        <v>12.78</v>
      </c>
      <c r="F837" s="3" t="n">
        <v>37.33</v>
      </c>
      <c r="G837" s="3" t="n">
        <v>9.98</v>
      </c>
      <c r="H837" s="3" t="n">
        <v>13.01</v>
      </c>
      <c r="I837" s="3" t="n">
        <v>2.29</v>
      </c>
      <c r="J837" s="3" t="n">
        <v>117.98</v>
      </c>
    </row>
    <row r="838">
      <c r="A838" s="8" t="n">
        <v>45646</v>
      </c>
      <c r="B838" s="3" t="n">
        <v>18.65</v>
      </c>
      <c r="C838" s="3" t="n">
        <v>55.54</v>
      </c>
      <c r="D838" s="3" t="n">
        <v>54.62</v>
      </c>
      <c r="E838" s="3" t="n">
        <v>12.23</v>
      </c>
      <c r="F838" s="3" t="n">
        <v>36.53</v>
      </c>
      <c r="G838" s="3" t="n">
        <v>10.27</v>
      </c>
      <c r="H838" s="3" t="n">
        <v>13.43</v>
      </c>
      <c r="I838" s="3" t="n">
        <v>2.38</v>
      </c>
      <c r="J838" s="3" t="n">
        <v>119.05</v>
      </c>
    </row>
    <row r="839">
      <c r="A839" s="8" t="n">
        <v>45649</v>
      </c>
      <c r="B839" s="3" t="n">
        <v>18.19</v>
      </c>
      <c r="C839" s="3" t="n">
        <v>54.24</v>
      </c>
      <c r="D839" s="3" t="n">
        <v>54.85</v>
      </c>
      <c r="E839" s="3" t="n">
        <v>12.22</v>
      </c>
      <c r="F839" s="3" t="n">
        <v>36.49</v>
      </c>
      <c r="G839" s="3" t="n">
        <v>10.26</v>
      </c>
      <c r="H839" s="3" t="n">
        <v>12.63</v>
      </c>
      <c r="I839" s="3" t="n">
        <v>2.25</v>
      </c>
      <c r="J839" s="3" t="n">
        <v>117.7</v>
      </c>
    </row>
    <row r="840">
      <c r="A840" s="8" t="n">
        <v>45652</v>
      </c>
      <c r="B840" s="3" t="n">
        <v>17.96</v>
      </c>
      <c r="C840" s="3" t="n">
        <v>54.66</v>
      </c>
      <c r="D840" s="3" t="n">
        <v>55.01</v>
      </c>
      <c r="E840" s="3" t="n">
        <v>12.14</v>
      </c>
      <c r="F840" s="3" t="n">
        <v>36.47</v>
      </c>
      <c r="G840" s="3" t="n">
        <v>10.33</v>
      </c>
      <c r="H840" s="3" t="n">
        <v>12.58</v>
      </c>
      <c r="I840" s="3" t="n">
        <v>2.23</v>
      </c>
      <c r="J840" s="3" t="n">
        <v>117.96</v>
      </c>
    </row>
    <row r="841">
      <c r="A841" s="8" t="n">
        <v>45653</v>
      </c>
      <c r="B841" s="3" t="n">
        <v>17.85</v>
      </c>
      <c r="C841" s="3" t="n">
        <v>53.68</v>
      </c>
      <c r="D841" s="3" t="n">
        <v>54.74</v>
      </c>
      <c r="E841" s="3" t="n">
        <v>12.07</v>
      </c>
      <c r="F841" s="3" t="n">
        <v>36.28</v>
      </c>
      <c r="G841" s="3" t="n">
        <v>10.36</v>
      </c>
      <c r="H841" s="3" t="n">
        <v>12.22</v>
      </c>
      <c r="I841" s="3" t="n">
        <v>2.21</v>
      </c>
      <c r="J841" s="3" t="n">
        <v>117.26</v>
      </c>
    </row>
    <row r="842">
      <c r="A842" s="8" t="n">
        <v>45656</v>
      </c>
      <c r="B842" s="3" t="n">
        <v>17.84</v>
      </c>
      <c r="C842" s="3" t="n">
        <v>52.77</v>
      </c>
      <c r="D842" s="3" t="n">
        <v>54.55</v>
      </c>
      <c r="E842" s="3" t="n">
        <v>11.74</v>
      </c>
      <c r="F842" s="3" t="n">
        <v>36.18</v>
      </c>
      <c r="G842" s="3" t="n">
        <v>10.32</v>
      </c>
      <c r="H842" s="3" t="n">
        <v>12.12</v>
      </c>
      <c r="I842" s="3" t="n">
        <v>2.23</v>
      </c>
      <c r="J842" s="3" t="n">
        <v>117.27</v>
      </c>
    </row>
    <row r="843">
      <c r="A843" s="8" t="n">
        <v>45659</v>
      </c>
      <c r="B843" s="3" t="n">
        <v>17.79</v>
      </c>
      <c r="C843" s="3" t="n">
        <v>52.72</v>
      </c>
      <c r="D843" s="3" t="n">
        <v>54.25</v>
      </c>
      <c r="E843" s="3" t="n">
        <v>11.6</v>
      </c>
      <c r="F843" s="3" t="n">
        <v>36.42</v>
      </c>
      <c r="G843" s="3" t="n">
        <v>10.2</v>
      </c>
      <c r="H843" s="3" t="n">
        <v>12</v>
      </c>
      <c r="I843" s="3" t="n">
        <v>2.17</v>
      </c>
      <c r="J843" s="3" t="n">
        <v>117.1</v>
      </c>
    </row>
    <row r="844">
      <c r="A844" s="8" t="n">
        <v>45660</v>
      </c>
      <c r="B844" s="3" t="n">
        <v>17.59</v>
      </c>
      <c r="C844" s="3" t="n">
        <v>52.46</v>
      </c>
      <c r="D844" s="3" t="n">
        <v>53.24</v>
      </c>
      <c r="E844" s="3" t="n">
        <v>11.33</v>
      </c>
      <c r="F844" s="3" t="n">
        <v>35.99</v>
      </c>
      <c r="G844" s="3" t="n">
        <v>10.1</v>
      </c>
      <c r="H844" s="3" t="n">
        <v>12.15</v>
      </c>
      <c r="I844" s="3" t="n">
        <v>2.1</v>
      </c>
      <c r="J844" s="3" t="n">
        <v>115.45</v>
      </c>
    </row>
    <row r="845">
      <c r="A845" s="8" t="n">
        <v>45663</v>
      </c>
      <c r="B845" s="3" t="n">
        <v>17.97</v>
      </c>
      <c r="C845" s="3" t="n">
        <v>52.47</v>
      </c>
      <c r="D845" s="3" t="n">
        <v>52.56</v>
      </c>
      <c r="E845" s="3" t="n">
        <v>11.29</v>
      </c>
      <c r="F845" s="3" t="n">
        <v>36.41</v>
      </c>
      <c r="G845" s="3" t="n">
        <v>10.38</v>
      </c>
      <c r="H845" s="3" t="n">
        <v>12.53</v>
      </c>
      <c r="I845" s="3" t="n">
        <v>2.18</v>
      </c>
      <c r="J845" s="3" t="n">
        <v>117.07</v>
      </c>
    </row>
    <row r="846">
      <c r="A846" s="8" t="n">
        <v>45664</v>
      </c>
      <c r="B846" s="3" t="n">
        <v>18.3</v>
      </c>
      <c r="C846" s="3" t="n">
        <v>53.52</v>
      </c>
      <c r="D846" s="3" t="n">
        <v>52.05</v>
      </c>
      <c r="E846" s="3" t="n">
        <v>11.54</v>
      </c>
      <c r="F846" s="3" t="n">
        <v>36.53</v>
      </c>
      <c r="G846" s="3" t="n">
        <v>10.31</v>
      </c>
      <c r="H846" s="3" t="n">
        <v>13.07</v>
      </c>
      <c r="I846" s="3" t="n">
        <v>2.38</v>
      </c>
      <c r="J846" s="3" t="n">
        <v>118.15</v>
      </c>
    </row>
    <row r="847">
      <c r="A847" s="8" t="n">
        <v>45665</v>
      </c>
      <c r="B847" s="3" t="n">
        <v>18</v>
      </c>
      <c r="C847" s="3" t="n">
        <v>53.21</v>
      </c>
      <c r="D847" s="3" t="n">
        <v>51.55</v>
      </c>
      <c r="E847" s="3" t="n">
        <v>11.42</v>
      </c>
      <c r="F847" s="3" t="n">
        <v>36.31</v>
      </c>
      <c r="G847" s="3" t="n">
        <v>10.3</v>
      </c>
      <c r="H847" s="3" t="n">
        <v>12.87</v>
      </c>
      <c r="I847" s="3" t="n">
        <v>2.35</v>
      </c>
      <c r="J847" s="3" t="n">
        <v>116.67</v>
      </c>
    </row>
    <row r="848">
      <c r="A848" s="8" t="n">
        <v>45666</v>
      </c>
      <c r="B848" s="3" t="n">
        <v>17.85</v>
      </c>
      <c r="C848" s="3" t="n">
        <v>54.29</v>
      </c>
      <c r="D848" s="3" t="n">
        <v>51.23</v>
      </c>
      <c r="E848" s="3" t="n">
        <v>11.4</v>
      </c>
      <c r="F848" s="3" t="n">
        <v>36.28</v>
      </c>
      <c r="G848" s="3" t="n">
        <v>10.2</v>
      </c>
      <c r="H848" s="3" t="n">
        <v>13</v>
      </c>
      <c r="I848" s="3" t="n">
        <v>2.26</v>
      </c>
      <c r="J848" s="3" t="n">
        <v>116.82</v>
      </c>
    </row>
    <row r="849">
      <c r="A849" s="8" t="n">
        <v>45667</v>
      </c>
      <c r="B849" s="3" t="n">
        <v>17.21</v>
      </c>
      <c r="C849" s="3" t="n">
        <v>53.35</v>
      </c>
      <c r="D849" s="3" t="n">
        <v>51.52</v>
      </c>
      <c r="E849" s="3" t="n">
        <v>11.16</v>
      </c>
      <c r="F849" s="3" t="n">
        <v>36.14</v>
      </c>
      <c r="G849" s="3" t="n">
        <v>9.800000000000001</v>
      </c>
      <c r="H849" s="3" t="n">
        <v>12.84</v>
      </c>
      <c r="I849" s="3" t="n">
        <v>2.2</v>
      </c>
      <c r="J849" s="3" t="n">
        <v>115.96</v>
      </c>
    </row>
    <row r="850">
      <c r="A850" s="8" t="n">
        <v>45670</v>
      </c>
      <c r="B850" s="3" t="n">
        <v>17.11</v>
      </c>
      <c r="C850" s="3" t="n">
        <v>53.25</v>
      </c>
      <c r="D850" s="3" t="n">
        <v>51.51</v>
      </c>
      <c r="E850" s="3" t="n">
        <v>11.24</v>
      </c>
      <c r="F850" s="3" t="n">
        <v>36.18</v>
      </c>
      <c r="G850" s="3" t="n">
        <v>9.789999999999999</v>
      </c>
      <c r="H850" s="3" t="n">
        <v>12.85</v>
      </c>
      <c r="I850" s="3" t="n">
        <v>2.16</v>
      </c>
      <c r="J850" s="3" t="n">
        <v>116.02</v>
      </c>
    </row>
    <row r="851">
      <c r="A851" s="8" t="n">
        <v>45671</v>
      </c>
      <c r="B851" s="3" t="n">
        <v>17.26</v>
      </c>
      <c r="C851" s="3" t="n">
        <v>52.93</v>
      </c>
      <c r="D851" s="3" t="n">
        <v>51.85</v>
      </c>
      <c r="E851" s="3" t="n">
        <v>11.21</v>
      </c>
      <c r="F851" s="3" t="n">
        <v>36.9</v>
      </c>
      <c r="G851" s="3" t="n">
        <v>9.84</v>
      </c>
      <c r="H851" s="3" t="n">
        <v>12.61</v>
      </c>
      <c r="I851" s="3" t="n">
        <v>2.2</v>
      </c>
      <c r="J851" s="3" t="n">
        <v>116.46</v>
      </c>
    </row>
    <row r="852">
      <c r="A852" s="8" t="n">
        <v>45672</v>
      </c>
      <c r="B852" s="3" t="n">
        <v>17.35</v>
      </c>
      <c r="C852" s="3" t="n">
        <v>54.16</v>
      </c>
      <c r="D852" s="3" t="n">
        <v>52.6</v>
      </c>
      <c r="E852" s="3" t="n">
        <v>11.39</v>
      </c>
      <c r="F852" s="3" t="n">
        <v>37.35</v>
      </c>
      <c r="G852" s="3" t="n">
        <v>10.5</v>
      </c>
      <c r="H852" s="3" t="n">
        <v>13.2</v>
      </c>
      <c r="I852" s="3" t="n">
        <v>2.43</v>
      </c>
      <c r="J852" s="3" t="n">
        <v>119.57</v>
      </c>
    </row>
    <row r="853">
      <c r="A853" s="8" t="n">
        <v>45673</v>
      </c>
      <c r="B853" s="3" t="n">
        <v>16.91</v>
      </c>
      <c r="C853" s="3" t="n">
        <v>53.67</v>
      </c>
      <c r="D853" s="3" t="n">
        <v>52.67</v>
      </c>
      <c r="E853" s="3" t="n">
        <v>11.08</v>
      </c>
      <c r="F853" s="3" t="n">
        <v>37.4</v>
      </c>
      <c r="G853" s="3" t="n">
        <v>10.27</v>
      </c>
      <c r="H853" s="3" t="n">
        <v>12.41</v>
      </c>
      <c r="I853" s="3" t="n">
        <v>2.37</v>
      </c>
      <c r="J853" s="3" t="n">
        <v>118.33</v>
      </c>
    </row>
    <row r="854">
      <c r="A854" s="8" t="n">
        <v>45674</v>
      </c>
      <c r="B854" s="3" t="n">
        <v>17.07</v>
      </c>
      <c r="C854" s="3" t="n">
        <v>54.17</v>
      </c>
      <c r="D854" s="3" t="n">
        <v>54.49</v>
      </c>
      <c r="E854" s="3" t="n">
        <v>11.09</v>
      </c>
      <c r="F854" s="3" t="n">
        <v>37.83</v>
      </c>
      <c r="G854" s="3" t="n">
        <v>10.35</v>
      </c>
      <c r="H854" s="3" t="n">
        <v>12.33</v>
      </c>
      <c r="I854" s="3" t="n">
        <v>2.24</v>
      </c>
      <c r="J854" s="3" t="n">
        <v>119.25</v>
      </c>
    </row>
    <row r="855">
      <c r="A855" s="8" t="n">
        <v>45677</v>
      </c>
      <c r="B855" s="3" t="n">
        <v>16.97</v>
      </c>
      <c r="C855" s="3" t="n">
        <v>55.13</v>
      </c>
      <c r="D855" s="3" t="n">
        <v>54.29</v>
      </c>
      <c r="E855" s="3" t="n">
        <v>11.05</v>
      </c>
      <c r="F855" s="3" t="n">
        <v>37.9</v>
      </c>
      <c r="G855" s="3" t="n">
        <v>10.32</v>
      </c>
      <c r="H855" s="3" t="n">
        <v>12.4</v>
      </c>
      <c r="I855" s="3" t="n">
        <v>2.27</v>
      </c>
      <c r="J855" s="3" t="n">
        <v>119.81</v>
      </c>
    </row>
    <row r="856">
      <c r="A856" s="8" t="n">
        <v>45678</v>
      </c>
      <c r="B856" s="3" t="n">
        <v>16.87</v>
      </c>
      <c r="C856" s="3" t="n">
        <v>55.63</v>
      </c>
      <c r="D856" s="3" t="n">
        <v>54.02</v>
      </c>
      <c r="E856" s="3" t="n">
        <v>11.25</v>
      </c>
      <c r="F856" s="3" t="n">
        <v>37.93</v>
      </c>
      <c r="G856" s="3" t="n">
        <v>10.37</v>
      </c>
      <c r="H856" s="3" t="n">
        <v>12.52</v>
      </c>
      <c r="I856" s="3" t="n">
        <v>2.28</v>
      </c>
      <c r="J856" s="3" t="n">
        <v>120.3</v>
      </c>
    </row>
    <row r="857">
      <c r="A857" s="8" t="n">
        <v>45679</v>
      </c>
      <c r="B857" s="3" t="n">
        <v>16.99</v>
      </c>
      <c r="C857" s="3" t="n">
        <v>56.44</v>
      </c>
      <c r="D857" s="3" t="n">
        <v>52.66</v>
      </c>
      <c r="E857" s="3" t="n">
        <v>11.02</v>
      </c>
      <c r="F857" s="3" t="n">
        <v>38.21</v>
      </c>
      <c r="G857" s="3" t="n">
        <v>10.43</v>
      </c>
      <c r="H857" s="3" t="n">
        <v>13.13</v>
      </c>
      <c r="I857" s="3" t="n">
        <v>2.31</v>
      </c>
      <c r="J857" s="3" t="n">
        <v>119.92</v>
      </c>
    </row>
    <row r="858">
      <c r="A858" s="8" t="n">
        <v>45680</v>
      </c>
      <c r="B858" s="3" t="n">
        <v>16.78</v>
      </c>
      <c r="C858" s="3" t="n">
        <v>57.25</v>
      </c>
      <c r="D858" s="3" t="n">
        <v>52.32</v>
      </c>
      <c r="E858" s="3" t="n">
        <v>11.05</v>
      </c>
      <c r="F858" s="3" t="n">
        <v>38.02</v>
      </c>
      <c r="G858" s="3" t="n">
        <v>10.35</v>
      </c>
      <c r="H858" s="3" t="n">
        <v>13</v>
      </c>
      <c r="I858" s="3" t="n">
        <v>2.29</v>
      </c>
      <c r="J858" s="3" t="n">
        <v>119.49</v>
      </c>
    </row>
    <row r="859">
      <c r="A859" s="8" t="n">
        <v>45681</v>
      </c>
      <c r="B859" s="3" t="n">
        <v>16.7</v>
      </c>
      <c r="C859" s="3" t="n">
        <v>57.87</v>
      </c>
      <c r="D859" s="3" t="n">
        <v>53.03</v>
      </c>
      <c r="E859" s="3" t="n">
        <v>10.87</v>
      </c>
      <c r="F859" s="3" t="n">
        <v>37.83</v>
      </c>
      <c r="G859" s="3" t="n">
        <v>10.37</v>
      </c>
      <c r="H859" s="3" t="n">
        <v>13.17</v>
      </c>
      <c r="I859" s="3" t="n">
        <v>2.29</v>
      </c>
      <c r="J859" s="3" t="n">
        <v>119.45</v>
      </c>
    </row>
    <row r="860">
      <c r="A860" s="8" t="n">
        <v>45684</v>
      </c>
      <c r="B860" s="3" t="n">
        <v>17.38</v>
      </c>
      <c r="C860" s="3" t="n">
        <v>53.31</v>
      </c>
      <c r="D860" s="3" t="n">
        <v>53.96</v>
      </c>
      <c r="E860" s="3" t="n">
        <v>11.12</v>
      </c>
      <c r="F860" s="3" t="n">
        <v>38.57</v>
      </c>
      <c r="G860" s="3" t="n">
        <v>10.56</v>
      </c>
      <c r="H860" s="3" t="n">
        <v>13.65</v>
      </c>
      <c r="I860" s="3" t="n">
        <v>2.38</v>
      </c>
      <c r="J860" s="3" t="n">
        <v>121.87</v>
      </c>
    </row>
    <row r="861">
      <c r="A861" s="8" t="n">
        <v>45685</v>
      </c>
      <c r="B861" s="3" t="n">
        <v>17.58</v>
      </c>
      <c r="C861" s="3" t="n">
        <v>54.09</v>
      </c>
      <c r="D861" s="3" t="n">
        <v>52.65</v>
      </c>
      <c r="E861" s="3" t="n">
        <v>11.11</v>
      </c>
      <c r="F861" s="3" t="n">
        <v>39.03</v>
      </c>
      <c r="G861" s="3" t="n">
        <v>10.55</v>
      </c>
      <c r="H861" s="3" t="n">
        <v>13.43</v>
      </c>
      <c r="I861" s="3" t="n">
        <v>2.32</v>
      </c>
      <c r="J861" s="3" t="n">
        <v>121.03</v>
      </c>
    </row>
    <row r="862">
      <c r="A862" s="8" t="n">
        <v>45686</v>
      </c>
      <c r="B862" s="3" t="n">
        <v>17.91</v>
      </c>
      <c r="C862" s="3" t="n">
        <v>54.43</v>
      </c>
      <c r="D862" s="3" t="n">
        <v>52.8</v>
      </c>
      <c r="E862" s="3" t="n">
        <v>10.97</v>
      </c>
      <c r="F862" s="3" t="n">
        <v>38.76</v>
      </c>
      <c r="G862" s="3" t="n">
        <v>10.55</v>
      </c>
      <c r="H862" s="3" t="n">
        <v>13.39</v>
      </c>
      <c r="I862" s="3" t="n">
        <v>2.29</v>
      </c>
      <c r="J862" s="3" t="n">
        <v>120.17</v>
      </c>
    </row>
    <row r="863">
      <c r="A863" s="8" t="n">
        <v>45687</v>
      </c>
      <c r="B863" s="3" t="n">
        <v>18.32</v>
      </c>
      <c r="C863" s="3" t="n">
        <v>56.21</v>
      </c>
      <c r="D863" s="3" t="n">
        <v>55.03</v>
      </c>
      <c r="E863" s="3" t="n">
        <v>11.11</v>
      </c>
      <c r="F863" s="3" t="n">
        <v>38.59</v>
      </c>
      <c r="G863" s="3" t="n">
        <v>11.09</v>
      </c>
      <c r="H863" s="3" t="n">
        <v>13.9</v>
      </c>
      <c r="I863" s="3" t="n">
        <v>2.45</v>
      </c>
      <c r="J863" s="3" t="n">
        <v>123.95</v>
      </c>
    </row>
    <row r="864">
      <c r="A864" s="8" t="n">
        <v>45688</v>
      </c>
      <c r="B864" s="3" t="n">
        <v>18.4</v>
      </c>
      <c r="C864" s="3" t="n">
        <v>55.04</v>
      </c>
      <c r="D864" s="3" t="n">
        <v>54.17</v>
      </c>
      <c r="E864" s="3" t="n">
        <v>11.1</v>
      </c>
      <c r="F864" s="3" t="n">
        <v>38.54</v>
      </c>
      <c r="G864" s="3" t="n">
        <v>11.19</v>
      </c>
      <c r="H864" s="3" t="n">
        <v>13.65</v>
      </c>
      <c r="I864" s="3" t="n">
        <v>2.42</v>
      </c>
      <c r="J864" s="3" t="n">
        <v>123</v>
      </c>
    </row>
    <row r="865">
      <c r="A865" s="8" t="n">
        <v>45691</v>
      </c>
      <c r="B865" s="3" t="n">
        <v>18.65</v>
      </c>
      <c r="C865" s="3" t="n">
        <v>53.9</v>
      </c>
      <c r="D865" s="3" t="n">
        <v>54.21</v>
      </c>
      <c r="E865" s="3" t="n">
        <v>11.03</v>
      </c>
      <c r="F865" s="3" t="n">
        <v>39.03</v>
      </c>
      <c r="G865" s="3" t="n">
        <v>11.16</v>
      </c>
      <c r="H865" s="3" t="n">
        <v>13.56</v>
      </c>
      <c r="I865" s="3" t="n">
        <v>2.44</v>
      </c>
      <c r="J865" s="3" t="n">
        <v>122.64</v>
      </c>
    </row>
    <row r="866">
      <c r="A866" s="8" t="n">
        <v>45692</v>
      </c>
      <c r="B866" s="3" t="n">
        <v>18.73</v>
      </c>
      <c r="C866" s="3" t="n">
        <v>54.06</v>
      </c>
      <c r="D866" s="3" t="n">
        <v>54.02</v>
      </c>
      <c r="E866" s="3" t="n">
        <v>10.9</v>
      </c>
      <c r="F866" s="3" t="n">
        <v>38.99</v>
      </c>
      <c r="G866" s="3" t="n">
        <v>11.07</v>
      </c>
      <c r="H866" s="3" t="n">
        <v>13.18</v>
      </c>
      <c r="I866" s="3" t="n">
        <v>2.39</v>
      </c>
      <c r="J866" s="3" t="n">
        <v>121.91</v>
      </c>
    </row>
    <row r="867">
      <c r="A867" s="8" t="n">
        <v>45693</v>
      </c>
      <c r="B867" s="3" t="n">
        <v>18.47</v>
      </c>
      <c r="C867" s="3" t="n">
        <v>54.47</v>
      </c>
      <c r="D867" s="3" t="n">
        <v>54.31</v>
      </c>
      <c r="E867" s="3" t="n">
        <v>10.82</v>
      </c>
      <c r="F867" s="3" t="n">
        <v>39.27</v>
      </c>
      <c r="G867" s="3" t="n">
        <v>10.99</v>
      </c>
      <c r="H867" s="3" t="n">
        <v>13.02</v>
      </c>
      <c r="I867" s="3" t="n">
        <v>2.32</v>
      </c>
      <c r="J867" s="3" t="n">
        <v>122.37</v>
      </c>
    </row>
    <row r="868">
      <c r="A868" s="8" t="n">
        <v>45694</v>
      </c>
      <c r="B868" s="3" t="n">
        <v>18.87</v>
      </c>
      <c r="C868" s="3" t="n">
        <v>54.53</v>
      </c>
      <c r="D868" s="3" t="n">
        <v>55.13</v>
      </c>
      <c r="E868" s="3" t="n">
        <v>10.86</v>
      </c>
      <c r="F868" s="3" t="n">
        <v>39.73</v>
      </c>
      <c r="G868" s="3" t="n">
        <v>11.22</v>
      </c>
      <c r="H868" s="3" t="n">
        <v>13.32</v>
      </c>
      <c r="I868" s="3" t="n">
        <v>2.27</v>
      </c>
      <c r="J868" s="3" t="n">
        <v>123.16</v>
      </c>
    </row>
    <row r="869">
      <c r="A869" s="8" t="n">
        <v>45695</v>
      </c>
      <c r="B869" s="3" t="n">
        <v>18.45</v>
      </c>
      <c r="C869" s="3" t="n">
        <v>53.94</v>
      </c>
      <c r="D869" s="3" t="n">
        <v>54.83</v>
      </c>
      <c r="E869" s="3" t="n">
        <v>10.85</v>
      </c>
      <c r="F869" s="3" t="n">
        <v>39.3</v>
      </c>
      <c r="G869" s="3" t="n">
        <v>10.96</v>
      </c>
      <c r="H869" s="3" t="n">
        <v>12.83</v>
      </c>
      <c r="I869" s="3" t="n">
        <v>2.33</v>
      </c>
      <c r="J869" s="3" t="n">
        <v>121.48</v>
      </c>
    </row>
    <row r="870">
      <c r="A870" s="8" t="n">
        <v>45698</v>
      </c>
      <c r="B870" s="3" t="n">
        <v>18.43</v>
      </c>
      <c r="C870" s="3" t="n">
        <v>54.21</v>
      </c>
      <c r="D870" s="3" t="n">
        <v>55.4</v>
      </c>
      <c r="E870" s="3" t="n">
        <v>10.97</v>
      </c>
      <c r="F870" s="3" t="n">
        <v>39.65</v>
      </c>
      <c r="G870" s="3" t="n">
        <v>11.1</v>
      </c>
      <c r="H870" s="3" t="n">
        <v>13.11</v>
      </c>
      <c r="I870" s="3" t="n">
        <v>2.34</v>
      </c>
      <c r="J870" s="3" t="n">
        <v>122.55</v>
      </c>
    </row>
    <row r="871">
      <c r="A871" s="8" t="n">
        <v>45699</v>
      </c>
      <c r="B871" s="3" t="n">
        <v>18.77</v>
      </c>
      <c r="C871" s="3" t="n">
        <v>53.11</v>
      </c>
      <c r="D871" s="3" t="n">
        <v>55.16</v>
      </c>
      <c r="E871" s="3" t="n">
        <v>10.96</v>
      </c>
      <c r="F871" s="3" t="n">
        <v>39.05</v>
      </c>
      <c r="G871" s="3" t="n">
        <v>11.18</v>
      </c>
      <c r="H871" s="3" t="n">
        <v>13.26</v>
      </c>
      <c r="I871" s="3" t="n">
        <v>2.51</v>
      </c>
      <c r="J871" s="3" t="n">
        <v>123.45</v>
      </c>
    </row>
    <row r="872">
      <c r="A872" s="8" t="n">
        <v>45700</v>
      </c>
      <c r="B872" s="3" t="n">
        <v>18.57</v>
      </c>
      <c r="C872" s="3" t="n">
        <v>52.7</v>
      </c>
      <c r="D872" s="3" t="n">
        <v>54.79</v>
      </c>
      <c r="E872" s="3" t="n">
        <v>10.92</v>
      </c>
      <c r="F872" s="3" t="n">
        <v>39.12</v>
      </c>
      <c r="G872" s="3" t="n">
        <v>11.04</v>
      </c>
      <c r="H872" s="3" t="n">
        <v>12.72</v>
      </c>
      <c r="I872" s="3" t="n">
        <v>2.33</v>
      </c>
      <c r="J872" s="3" t="n">
        <v>121.25</v>
      </c>
    </row>
    <row r="873">
      <c r="A873" s="8" t="n">
        <v>45701</v>
      </c>
      <c r="B873" s="3" t="n">
        <v>18.79</v>
      </c>
      <c r="C873" s="3" t="n">
        <v>52.47</v>
      </c>
      <c r="D873" s="3" t="n">
        <v>54.86</v>
      </c>
      <c r="E873" s="3" t="n">
        <v>10.98</v>
      </c>
      <c r="F873" s="3" t="n">
        <v>38.49</v>
      </c>
      <c r="G873" s="3" t="n">
        <v>11.17</v>
      </c>
      <c r="H873" s="3" t="n">
        <v>13.1</v>
      </c>
      <c r="I873" s="3" t="n">
        <v>2.32</v>
      </c>
      <c r="J873" s="3" t="n">
        <v>121.68</v>
      </c>
    </row>
    <row r="874">
      <c r="A874" s="8" t="n">
        <v>45702</v>
      </c>
      <c r="B874" s="3" t="n">
        <v>19.73</v>
      </c>
      <c r="C874" s="3" t="n">
        <v>53.8</v>
      </c>
      <c r="D874" s="3" t="n">
        <v>55.67</v>
      </c>
      <c r="E874" s="3" t="n">
        <v>11.13</v>
      </c>
      <c r="F874" s="3" t="n">
        <v>38.88</v>
      </c>
      <c r="G874" s="3" t="n">
        <v>11.59</v>
      </c>
      <c r="H874" s="3" t="n">
        <v>13.65</v>
      </c>
      <c r="I874" s="3" t="n">
        <v>2.51</v>
      </c>
      <c r="J874" s="3" t="n">
        <v>124.87</v>
      </c>
    </row>
    <row r="875">
      <c r="A875" s="8" t="n">
        <v>45705</v>
      </c>
      <c r="B875" s="3" t="n">
        <v>19.37</v>
      </c>
      <c r="C875" s="3" t="n">
        <v>52.45</v>
      </c>
      <c r="D875" s="3" t="n">
        <v>55.37</v>
      </c>
      <c r="E875" s="3" t="n">
        <v>11.1</v>
      </c>
      <c r="F875" s="3" t="n">
        <v>38</v>
      </c>
      <c r="G875" s="3" t="n">
        <v>11.58</v>
      </c>
      <c r="H875" s="3" t="n">
        <v>14.11</v>
      </c>
      <c r="I875" s="3" t="n">
        <v>2.54</v>
      </c>
      <c r="J875" s="3" t="n">
        <v>125.25</v>
      </c>
    </row>
    <row r="876">
      <c r="A876" s="8" t="n">
        <v>45706</v>
      </c>
      <c r="B876" s="3" t="n">
        <v>19.02</v>
      </c>
      <c r="C876" s="3" t="n">
        <v>52.89</v>
      </c>
      <c r="D876" s="3" t="n">
        <v>55.74</v>
      </c>
      <c r="E876" s="3" t="n">
        <v>11.09</v>
      </c>
      <c r="F876" s="3" t="n">
        <v>39.7</v>
      </c>
      <c r="G876" s="3" t="n">
        <v>11.52</v>
      </c>
      <c r="H876" s="3" t="n">
        <v>14.05</v>
      </c>
      <c r="I876" s="3" t="n">
        <v>2.47</v>
      </c>
      <c r="J876" s="3" t="n">
        <v>125.3</v>
      </c>
    </row>
    <row r="877">
      <c r="A877" s="8" t="n">
        <v>45707</v>
      </c>
      <c r="B877" s="3" t="n">
        <v>18.65</v>
      </c>
      <c r="C877" s="3" t="n">
        <v>52.21</v>
      </c>
      <c r="D877" s="3" t="n">
        <v>55.69</v>
      </c>
      <c r="E877" s="3" t="n">
        <v>10.97</v>
      </c>
      <c r="F877" s="3" t="n">
        <v>39.74</v>
      </c>
      <c r="G877" s="3" t="n">
        <v>11.37</v>
      </c>
      <c r="H877" s="3" t="n">
        <v>13.54</v>
      </c>
      <c r="I877" s="3" t="n">
        <v>2.43</v>
      </c>
      <c r="J877" s="3" t="n">
        <v>124.01</v>
      </c>
    </row>
    <row r="878">
      <c r="A878" s="8" t="n">
        <v>45708</v>
      </c>
      <c r="B878" s="3" t="n">
        <v>18.49</v>
      </c>
      <c r="C878" s="3" t="n">
        <v>52.1</v>
      </c>
      <c r="D878" s="3" t="n">
        <v>57.74</v>
      </c>
      <c r="E878" s="3" t="n">
        <v>11.04</v>
      </c>
      <c r="F878" s="3" t="n">
        <v>39.86</v>
      </c>
      <c r="G878" s="3" t="n">
        <v>11.29</v>
      </c>
      <c r="H878" s="3" t="n">
        <v>13.71</v>
      </c>
      <c r="I878" s="3" t="n">
        <v>2.44</v>
      </c>
      <c r="J878" s="3" t="n">
        <v>124.47</v>
      </c>
    </row>
    <row r="879">
      <c r="A879" s="8" t="n">
        <v>45709</v>
      </c>
      <c r="B879" s="3" t="n">
        <v>18.07</v>
      </c>
      <c r="C879" s="3" t="n">
        <v>52.95</v>
      </c>
      <c r="D879" s="3" t="n">
        <v>58.16</v>
      </c>
      <c r="E879" s="3" t="n">
        <v>11.12</v>
      </c>
      <c r="F879" s="3" t="n">
        <v>37.03</v>
      </c>
      <c r="G879" s="3" t="n">
        <v>11.22</v>
      </c>
      <c r="H879" s="3" t="n">
        <v>11.79</v>
      </c>
      <c r="I879" s="3" t="n">
        <v>2.36</v>
      </c>
      <c r="J879" s="3" t="n">
        <v>123.94</v>
      </c>
    </row>
    <row r="880">
      <c r="A880" s="8" t="n">
        <v>45712</v>
      </c>
      <c r="B880" s="3" t="n">
        <v>18</v>
      </c>
      <c r="C880" s="3" t="n">
        <v>51.55</v>
      </c>
      <c r="D880" s="3" t="n">
        <v>57.63</v>
      </c>
      <c r="E880" s="3" t="n">
        <v>11.03</v>
      </c>
      <c r="F880" s="3" t="n">
        <v>37.49</v>
      </c>
      <c r="G880" s="3" t="n">
        <v>10.84</v>
      </c>
      <c r="H880" s="3" t="n">
        <v>11.2</v>
      </c>
      <c r="I880" s="3" t="n">
        <v>2.23</v>
      </c>
      <c r="J880" s="3" t="n">
        <v>122.49</v>
      </c>
    </row>
    <row r="881">
      <c r="A881" s="8" t="n">
        <v>45713</v>
      </c>
      <c r="B881" s="3" t="n">
        <v>17.98</v>
      </c>
      <c r="C881" s="3" t="n">
        <v>52.4</v>
      </c>
      <c r="D881" s="3" t="n">
        <v>57.07</v>
      </c>
      <c r="E881" s="3" t="n">
        <v>11.09</v>
      </c>
      <c r="F881" s="3" t="n">
        <v>37.44</v>
      </c>
      <c r="G881" s="3" t="n">
        <v>10.8</v>
      </c>
      <c r="H881" s="3" t="n">
        <v>11.31</v>
      </c>
      <c r="I881" s="3" t="n">
        <v>2.13</v>
      </c>
      <c r="J881" s="3" t="n">
        <v>122.83</v>
      </c>
    </row>
    <row r="882">
      <c r="A882" s="8" t="n">
        <v>45714</v>
      </c>
      <c r="B882" s="3" t="n">
        <v>17.4</v>
      </c>
      <c r="C882" s="3" t="n">
        <v>47.85</v>
      </c>
      <c r="D882" s="3" t="n">
        <v>56.72</v>
      </c>
      <c r="E882" s="3" t="n">
        <v>11.7</v>
      </c>
      <c r="F882" s="3" t="n">
        <v>37.53</v>
      </c>
      <c r="G882" s="3" t="n">
        <v>10.64</v>
      </c>
      <c r="H882" s="3" t="n">
        <v>10.81</v>
      </c>
      <c r="I882" s="3" t="n">
        <v>2.1</v>
      </c>
      <c r="J882" s="3" t="n">
        <v>121.82</v>
      </c>
    </row>
    <row r="883">
      <c r="A883" s="8" t="n">
        <v>45715</v>
      </c>
      <c r="B883" s="3" t="n">
        <v>17.45</v>
      </c>
      <c r="C883" s="3" t="n">
        <v>48.9</v>
      </c>
      <c r="D883" s="3" t="n">
        <v>56.3</v>
      </c>
      <c r="E883" s="3" t="n">
        <v>12.32</v>
      </c>
      <c r="F883" s="3" t="n">
        <v>38.45</v>
      </c>
      <c r="G883" s="3" t="n">
        <v>10.7</v>
      </c>
      <c r="H883" s="3" t="n">
        <v>11.28</v>
      </c>
      <c r="I883" s="3" t="n">
        <v>2.12</v>
      </c>
      <c r="J883" s="3" t="n">
        <v>121.75</v>
      </c>
    </row>
    <row r="884">
      <c r="A884" s="8" t="n">
        <v>45716</v>
      </c>
      <c r="B884" s="3" t="n">
        <v>16.93</v>
      </c>
      <c r="C884" s="3" t="n">
        <v>48.42</v>
      </c>
      <c r="D884" s="3" t="n">
        <v>55.15</v>
      </c>
      <c r="E884" s="3" t="n">
        <v>12.22</v>
      </c>
      <c r="F884" s="3" t="n">
        <v>37.84</v>
      </c>
      <c r="G884" s="3" t="n">
        <v>10.4</v>
      </c>
      <c r="H884" s="3" t="n">
        <v>11.33</v>
      </c>
      <c r="I884" s="3" t="n">
        <v>2.11</v>
      </c>
      <c r="J884" s="3" t="n">
        <v>120.01</v>
      </c>
    </row>
    <row r="885">
      <c r="A885" s="8" t="n">
        <v>45721</v>
      </c>
      <c r="B885" s="3" t="n">
        <v>17.47</v>
      </c>
      <c r="C885" s="3" t="n">
        <v>47.65</v>
      </c>
      <c r="D885" s="3" t="n">
        <v>55.59</v>
      </c>
      <c r="E885" s="3" t="n">
        <v>12.78</v>
      </c>
      <c r="F885" s="3" t="n">
        <v>38.7</v>
      </c>
      <c r="G885" s="3" t="n">
        <v>10.53</v>
      </c>
      <c r="H885" s="3" t="n">
        <v>11.2</v>
      </c>
      <c r="I885" s="3" t="n">
        <v>2.13</v>
      </c>
      <c r="J885" s="3" t="n">
        <v>120.05</v>
      </c>
    </row>
    <row r="886">
      <c r="A886" s="8" t="n">
        <v>45722</v>
      </c>
      <c r="B886" s="3" t="n">
        <v>17.96</v>
      </c>
      <c r="C886" s="3" t="n">
        <v>47.28</v>
      </c>
      <c r="D886" s="3" t="n">
        <v>56.2</v>
      </c>
      <c r="E886" s="3" t="n">
        <v>12.85</v>
      </c>
      <c r="F886" s="3" t="n">
        <v>39.05</v>
      </c>
      <c r="G886" s="3" t="n">
        <v>10.64</v>
      </c>
      <c r="H886" s="3" t="n">
        <v>11.42</v>
      </c>
      <c r="I886" s="3" t="n">
        <v>2.08</v>
      </c>
      <c r="J886" s="3" t="n">
        <v>120.4</v>
      </c>
    </row>
    <row r="887">
      <c r="A887" s="8" t="n">
        <v>45723</v>
      </c>
      <c r="B887" s="3" t="n">
        <v>17.87</v>
      </c>
      <c r="C887" s="3" t="n">
        <v>47.89</v>
      </c>
      <c r="D887" s="3" t="n">
        <v>57.02</v>
      </c>
      <c r="E887" s="3" t="n">
        <v>13.1</v>
      </c>
      <c r="F887" s="3" t="n">
        <v>39.02</v>
      </c>
      <c r="G887" s="3" t="n">
        <v>10.7</v>
      </c>
      <c r="H887" s="3" t="n">
        <v>11.92</v>
      </c>
      <c r="I887" s="3" t="n">
        <v>2.17</v>
      </c>
      <c r="J887" s="3" t="n">
        <v>121.95</v>
      </c>
    </row>
    <row r="888">
      <c r="A888" s="8" t="n">
        <v>45726</v>
      </c>
      <c r="B888" s="3" t="n">
        <v>17.34</v>
      </c>
      <c r="C888" s="3" t="n">
        <v>47.68</v>
      </c>
      <c r="D888" s="3" t="n">
        <v>53.99</v>
      </c>
      <c r="E888" s="3" t="n">
        <v>13.12</v>
      </c>
      <c r="F888" s="3" t="n">
        <v>38.94</v>
      </c>
      <c r="G888" s="3" t="n">
        <v>10.47</v>
      </c>
      <c r="H888" s="3" t="n">
        <v>11.86</v>
      </c>
      <c r="I888" s="3" t="n">
        <v>2.05</v>
      </c>
      <c r="J888" s="3" t="n">
        <v>121.3</v>
      </c>
    </row>
    <row r="889">
      <c r="A889" s="8" t="n">
        <v>45727</v>
      </c>
      <c r="B889" s="3" t="n">
        <v>17.39</v>
      </c>
      <c r="C889" s="3" t="n">
        <v>46.6</v>
      </c>
      <c r="D889" s="3" t="n">
        <v>54.44</v>
      </c>
      <c r="E889" s="3" t="n">
        <v>12.86</v>
      </c>
      <c r="F889" s="3" t="n">
        <v>38.58</v>
      </c>
      <c r="G889" s="3" t="n">
        <v>10.4</v>
      </c>
      <c r="H889" s="3" t="n">
        <v>11.7</v>
      </c>
      <c r="I889" s="3" t="n">
        <v>2.06</v>
      </c>
      <c r="J889" s="3" t="n">
        <v>120.55</v>
      </c>
    </row>
    <row r="890">
      <c r="A890" s="8" t="n">
        <v>45728</v>
      </c>
      <c r="B890" s="3" t="n">
        <v>17.51</v>
      </c>
      <c r="C890" s="3" t="n">
        <v>47.2</v>
      </c>
      <c r="D890" s="3" t="n">
        <v>53.76</v>
      </c>
      <c r="E890" s="3" t="n">
        <v>13.03</v>
      </c>
      <c r="F890" s="3" t="n">
        <v>38.57</v>
      </c>
      <c r="G890" s="3" t="n">
        <v>10.5</v>
      </c>
      <c r="H890" s="3" t="n">
        <v>12.1</v>
      </c>
      <c r="I890" s="3" t="n">
        <v>2.08</v>
      </c>
      <c r="J890" s="3" t="n">
        <v>120.74</v>
      </c>
    </row>
    <row r="891">
      <c r="A891" s="8" t="n">
        <v>45729</v>
      </c>
      <c r="B891" s="3" t="n">
        <v>17.8</v>
      </c>
      <c r="C891" s="3" t="n">
        <v>46.74</v>
      </c>
      <c r="D891" s="3" t="n">
        <v>54.5</v>
      </c>
      <c r="E891" s="3" t="n">
        <v>13.33</v>
      </c>
      <c r="F891" s="3" t="n">
        <v>39.16</v>
      </c>
      <c r="G891" s="3" t="n">
        <v>11.6</v>
      </c>
      <c r="H891" s="3" t="n">
        <v>11.6</v>
      </c>
      <c r="I891" s="3" t="n">
        <v>2.08</v>
      </c>
      <c r="J891" s="3" t="n">
        <v>122.51</v>
      </c>
    </row>
    <row r="892">
      <c r="A892" s="8" t="n">
        <v>45730</v>
      </c>
      <c r="B892" s="3" t="n">
        <v>18</v>
      </c>
      <c r="C892" s="3" t="n">
        <v>46.74</v>
      </c>
      <c r="D892" s="3" t="n">
        <v>56.29</v>
      </c>
      <c r="E892" s="3" t="n">
        <v>13.64</v>
      </c>
      <c r="F892" s="3" t="n">
        <v>39.81</v>
      </c>
      <c r="G892" s="3" t="n">
        <v>12.87</v>
      </c>
      <c r="H892" s="3" t="n">
        <v>12.03</v>
      </c>
      <c r="I892" s="3" t="n">
        <v>2.18</v>
      </c>
      <c r="J892" s="3" t="n">
        <v>125.75</v>
      </c>
    </row>
    <row r="893">
      <c r="A893" s="8" t="n">
        <v>45733</v>
      </c>
      <c r="B893" s="3" t="n">
        <v>18.16</v>
      </c>
      <c r="C893" s="3" t="n">
        <v>47.65</v>
      </c>
      <c r="D893" s="3" t="n">
        <v>57.1</v>
      </c>
      <c r="E893" s="3" t="n">
        <v>13.57</v>
      </c>
      <c r="F893" s="3" t="n">
        <v>40</v>
      </c>
      <c r="G893" s="3" t="n">
        <v>12.42</v>
      </c>
      <c r="H893" s="3" t="n">
        <v>12.5</v>
      </c>
      <c r="I893" s="3" t="n">
        <v>2.29</v>
      </c>
      <c r="J893" s="3" t="n">
        <v>127.76</v>
      </c>
    </row>
    <row r="894">
      <c r="A894" s="8" t="n">
        <v>45734</v>
      </c>
      <c r="B894" s="3" t="n">
        <v>18.05</v>
      </c>
      <c r="C894" s="3" t="n">
        <v>47.65</v>
      </c>
      <c r="D894" s="3" t="n">
        <v>57.52</v>
      </c>
      <c r="E894" s="3" t="n">
        <v>13.55</v>
      </c>
      <c r="F894" s="3" t="n">
        <v>40.38</v>
      </c>
      <c r="G894" s="3" t="n">
        <v>12.04</v>
      </c>
      <c r="H894" s="3" t="n">
        <v>12.34</v>
      </c>
      <c r="I894" s="3" t="n">
        <v>2.36</v>
      </c>
      <c r="J894" s="3" t="n">
        <v>128.26</v>
      </c>
    </row>
    <row r="895">
      <c r="A895" s="8" t="n">
        <v>45735</v>
      </c>
      <c r="B895" s="3" t="n">
        <v>18.2</v>
      </c>
      <c r="C895" s="3" t="n">
        <v>48.14</v>
      </c>
      <c r="D895" s="3" t="n">
        <v>57.42</v>
      </c>
      <c r="E895" s="3" t="n">
        <v>13.68</v>
      </c>
      <c r="F895" s="3" t="n">
        <v>40.23</v>
      </c>
      <c r="G895" s="3" t="n">
        <v>12.35</v>
      </c>
      <c r="H895" s="3" t="n">
        <v>12.4</v>
      </c>
      <c r="I895" s="3" t="n">
        <v>2.26</v>
      </c>
      <c r="J895" s="3" t="n">
        <v>129.6</v>
      </c>
    </row>
    <row r="896">
      <c r="A896" s="8" t="n">
        <v>45736</v>
      </c>
      <c r="B896" s="3" t="n">
        <v>18.19</v>
      </c>
      <c r="C896" s="3" t="n">
        <v>47.9</v>
      </c>
      <c r="D896" s="3" t="n">
        <v>57.24</v>
      </c>
      <c r="E896" s="3" t="n">
        <v>13.6</v>
      </c>
      <c r="F896" s="3" t="n">
        <v>40.51</v>
      </c>
      <c r="G896" s="3" t="n">
        <v>12.4</v>
      </c>
      <c r="H896" s="3" t="n">
        <v>11.99</v>
      </c>
      <c r="I896" s="3" t="n">
        <v>2.25</v>
      </c>
      <c r="J896" s="3" t="n">
        <v>128.85</v>
      </c>
    </row>
    <row r="897">
      <c r="A897" s="8" t="n">
        <v>45737</v>
      </c>
      <c r="B897" s="3" t="n">
        <v>17.78</v>
      </c>
      <c r="C897" s="3" t="n">
        <v>47.85</v>
      </c>
      <c r="D897" s="3" t="n">
        <v>57.45</v>
      </c>
      <c r="E897" s="3" t="n">
        <v>13.73</v>
      </c>
      <c r="F897" s="3" t="n">
        <v>40.31</v>
      </c>
      <c r="G897" s="3" t="n">
        <v>12.56</v>
      </c>
      <c r="H897" s="3" t="n">
        <v>12.42</v>
      </c>
      <c r="I897" s="3" t="n">
        <v>2.17</v>
      </c>
      <c r="J897" s="3" t="n">
        <v>128.98</v>
      </c>
    </row>
    <row r="898">
      <c r="A898" s="8" t="n">
        <v>45740</v>
      </c>
      <c r="B898" s="3" t="n">
        <v>17.08</v>
      </c>
      <c r="C898" s="3" t="n">
        <v>47.36</v>
      </c>
      <c r="D898" s="3" t="n">
        <v>57.15</v>
      </c>
      <c r="E898" s="3" t="n">
        <v>13.54</v>
      </c>
      <c r="F898" s="3" t="n">
        <v>40.02</v>
      </c>
      <c r="G898" s="3" t="n">
        <v>12.4</v>
      </c>
      <c r="H898" s="3" t="n">
        <v>12.35</v>
      </c>
      <c r="I898" s="3" t="n">
        <v>2.08</v>
      </c>
      <c r="J898" s="3" t="n">
        <v>128.19</v>
      </c>
    </row>
    <row r="899">
      <c r="A899" s="8" t="n">
        <v>45741</v>
      </c>
      <c r="B899" s="3" t="n">
        <v>17.05</v>
      </c>
      <c r="C899" s="3" t="n">
        <v>47</v>
      </c>
      <c r="D899" s="3" t="n">
        <v>57.34</v>
      </c>
      <c r="E899" s="3" t="n">
        <v>13.6</v>
      </c>
      <c r="F899" s="3" t="n">
        <v>39.87</v>
      </c>
      <c r="G899" s="3" t="n">
        <v>12.39</v>
      </c>
      <c r="H899" s="3" t="n">
        <v>12.66</v>
      </c>
      <c r="I899" s="3" t="n">
        <v>2.23</v>
      </c>
      <c r="J899" s="3" t="n">
        <v>129.04</v>
      </c>
    </row>
    <row r="900">
      <c r="A900" s="8" t="n">
        <v>45742</v>
      </c>
      <c r="B900" s="3" t="n">
        <v>17.08</v>
      </c>
      <c r="C900" s="3" t="n">
        <v>46.75</v>
      </c>
      <c r="D900" s="3" t="n">
        <v>57.69</v>
      </c>
      <c r="E900" s="3" t="n">
        <v>13.38</v>
      </c>
      <c r="F900" s="3" t="n">
        <v>40.13</v>
      </c>
      <c r="G900" s="3" t="n">
        <v>12.38</v>
      </c>
      <c r="H900" s="3" t="n">
        <v>12.63</v>
      </c>
      <c r="I900" s="3" t="n">
        <v>2.23</v>
      </c>
      <c r="J900" s="3" t="n">
        <v>129.24</v>
      </c>
    </row>
    <row r="901">
      <c r="A901" s="8" t="n">
        <v>45743</v>
      </c>
      <c r="B901" s="3" t="n">
        <v>17.32</v>
      </c>
      <c r="C901" s="3" t="n">
        <v>46.39</v>
      </c>
      <c r="D901" s="3" t="n">
        <v>58.15</v>
      </c>
      <c r="E901" s="3" t="n">
        <v>13.46</v>
      </c>
      <c r="F901" s="3" t="n">
        <v>40.38</v>
      </c>
      <c r="G901" s="3" t="n">
        <v>12.39</v>
      </c>
      <c r="H901" s="3" t="n">
        <v>12.78</v>
      </c>
      <c r="I901" s="3" t="n">
        <v>2.35</v>
      </c>
      <c r="J901" s="3" t="n">
        <v>129.78</v>
      </c>
    </row>
    <row r="902">
      <c r="A902" s="8" t="n">
        <v>45744</v>
      </c>
      <c r="B902" s="3" t="n">
        <v>16.98</v>
      </c>
      <c r="C902" s="3" t="n">
        <v>45.85</v>
      </c>
      <c r="D902" s="3" t="n">
        <v>57.56</v>
      </c>
      <c r="E902" s="3" t="n">
        <v>13.43</v>
      </c>
      <c r="F902" s="3" t="n">
        <v>40.26</v>
      </c>
      <c r="G902" s="3" t="n">
        <v>12.24</v>
      </c>
      <c r="H902" s="3" t="n">
        <v>12.54</v>
      </c>
      <c r="I902" s="3" t="n">
        <v>2.3</v>
      </c>
      <c r="J902" s="3" t="n">
        <v>128.69</v>
      </c>
    </row>
    <row r="903">
      <c r="A903" s="8" t="n">
        <v>45747</v>
      </c>
      <c r="B903" s="3" t="n">
        <v>16.22</v>
      </c>
      <c r="C903" s="3" t="n">
        <v>45.28</v>
      </c>
      <c r="D903" s="3" t="n">
        <v>56.7</v>
      </c>
      <c r="E903" s="3" t="n">
        <v>13.5</v>
      </c>
      <c r="F903" s="3" t="n">
        <v>40.3</v>
      </c>
      <c r="G903" s="3" t="n">
        <v>12.14</v>
      </c>
      <c r="H903" s="3" t="n">
        <v>12.23</v>
      </c>
      <c r="I903" s="3" t="n">
        <v>2.21</v>
      </c>
      <c r="J903" s="3" t="n">
        <v>127.3</v>
      </c>
    </row>
    <row r="904">
      <c r="A904" s="8" t="n">
        <v>45748</v>
      </c>
      <c r="B904" s="3" t="n">
        <v>16.29</v>
      </c>
      <c r="C904" s="3" t="n">
        <v>45.35</v>
      </c>
      <c r="D904" s="3" t="n">
        <v>57.19</v>
      </c>
      <c r="E904" s="3" t="n">
        <v>13.61</v>
      </c>
      <c r="F904" s="3" t="n">
        <v>41.2</v>
      </c>
      <c r="G904" s="3" t="n">
        <v>12.26</v>
      </c>
      <c r="H904" s="3" t="n">
        <v>12.61</v>
      </c>
      <c r="I904" s="3" t="n">
        <v>2.22</v>
      </c>
      <c r="J904" s="3" t="n">
        <v>128.04</v>
      </c>
    </row>
    <row r="905">
      <c r="A905" s="8" t="n">
        <v>45749</v>
      </c>
      <c r="B905" s="3" t="n">
        <v>16.87</v>
      </c>
      <c r="C905" s="3" t="n">
        <v>44.9</v>
      </c>
      <c r="D905" s="3" t="n">
        <v>56.93</v>
      </c>
      <c r="E905" s="3" t="n">
        <v>13.67</v>
      </c>
      <c r="F905" s="3" t="n">
        <v>40.47</v>
      </c>
      <c r="G905" s="3" t="n">
        <v>12.42</v>
      </c>
      <c r="H905" s="3" t="n">
        <v>12.97</v>
      </c>
      <c r="I905" s="3" t="n">
        <v>2.18</v>
      </c>
      <c r="J905" s="3" t="n">
        <v>128.9</v>
      </c>
    </row>
    <row r="906">
      <c r="A906" s="8" t="n">
        <v>45750</v>
      </c>
      <c r="B906" s="3" t="n">
        <v>17.65</v>
      </c>
      <c r="C906" s="3" t="n">
        <v>44.27</v>
      </c>
      <c r="D906" s="3" t="n">
        <v>54.87</v>
      </c>
      <c r="E906" s="3" t="n">
        <v>13.85</v>
      </c>
      <c r="F906" s="3" t="n">
        <v>41.19</v>
      </c>
      <c r="G906" s="3" t="n">
        <v>12.73</v>
      </c>
      <c r="H906" s="3" t="n">
        <v>13.26</v>
      </c>
      <c r="I906" s="3" t="n">
        <v>2.25</v>
      </c>
      <c r="J906" s="3" t="n">
        <v>128.1</v>
      </c>
    </row>
    <row r="907">
      <c r="A907" s="8" t="n">
        <v>45751</v>
      </c>
      <c r="B907" s="3" t="n">
        <v>17.07</v>
      </c>
      <c r="C907" s="3" t="n">
        <v>43.72</v>
      </c>
      <c r="D907" s="3" t="n">
        <v>52.68</v>
      </c>
      <c r="E907" s="3" t="n">
        <v>13.71</v>
      </c>
      <c r="F907" s="3" t="n">
        <v>40.25</v>
      </c>
      <c r="G907" s="3" t="n">
        <v>12.05</v>
      </c>
      <c r="H907" s="3" t="n">
        <v>12.65</v>
      </c>
      <c r="I907" s="3" t="n">
        <v>2.13</v>
      </c>
      <c r="J907" s="3" t="n">
        <v>124.05</v>
      </c>
    </row>
    <row r="908">
      <c r="A908" s="8" t="n">
        <v>45754</v>
      </c>
      <c r="B908" s="3" t="n">
        <v>17.04</v>
      </c>
      <c r="C908" s="3" t="n">
        <v>44</v>
      </c>
      <c r="D908" s="3" t="n">
        <v>52.05</v>
      </c>
      <c r="E908" s="3" t="n">
        <v>13.18</v>
      </c>
      <c r="F908" s="3" t="n">
        <v>40.07</v>
      </c>
      <c r="G908" s="3" t="n">
        <v>11.95</v>
      </c>
      <c r="H908" s="3" t="n">
        <v>12.12</v>
      </c>
      <c r="I908" s="3" t="n">
        <v>2.06</v>
      </c>
      <c r="J908" s="3" t="n">
        <v>122.73</v>
      </c>
    </row>
    <row r="909">
      <c r="A909" s="8" t="n">
        <v>45755</v>
      </c>
      <c r="B909" s="3" t="n">
        <v>16.84</v>
      </c>
      <c r="C909" s="3" t="n">
        <v>44</v>
      </c>
      <c r="D909" s="3" t="n">
        <v>49.2</v>
      </c>
      <c r="E909" s="3" t="n">
        <v>13.24</v>
      </c>
      <c r="F909" s="3" t="n">
        <v>40.45</v>
      </c>
      <c r="G909" s="3" t="n">
        <v>11.74</v>
      </c>
      <c r="H909" s="3" t="n">
        <v>11.99</v>
      </c>
      <c r="I909" s="3" t="n">
        <v>2.03</v>
      </c>
      <c r="J909" s="3" t="n">
        <v>121.04</v>
      </c>
    </row>
    <row r="910">
      <c r="A910" s="8" t="n">
        <v>45756</v>
      </c>
      <c r="B910" s="3" t="n">
        <v>17.17</v>
      </c>
      <c r="C910" s="3" t="n">
        <v>45.41</v>
      </c>
      <c r="D910" s="3" t="n">
        <v>51.85</v>
      </c>
      <c r="E910" s="3" t="n">
        <v>13.67</v>
      </c>
      <c r="F910" s="3" t="n">
        <v>40.79</v>
      </c>
      <c r="G910" s="3" t="n">
        <v>12.17</v>
      </c>
      <c r="H910" s="3" t="n">
        <v>12.76</v>
      </c>
      <c r="I910" s="3" t="n">
        <v>2.16</v>
      </c>
      <c r="J910" s="3" t="n">
        <v>124.55</v>
      </c>
    </row>
    <row r="911">
      <c r="A911" s="8" t="n">
        <v>45757</v>
      </c>
      <c r="B911" s="3" t="n">
        <v>17.18</v>
      </c>
      <c r="C911" s="3" t="n">
        <v>44.91</v>
      </c>
      <c r="D911" s="3" t="n">
        <v>52.78</v>
      </c>
      <c r="E911" s="3" t="n">
        <v>13.6</v>
      </c>
      <c r="F911" s="3" t="n">
        <v>39.66</v>
      </c>
      <c r="G911" s="3" t="n">
        <v>11.86</v>
      </c>
      <c r="H911" s="3" t="n">
        <v>12.67</v>
      </c>
      <c r="I911" s="3" t="n">
        <v>2.22</v>
      </c>
      <c r="J911" s="3" t="n">
        <v>123.41</v>
      </c>
    </row>
    <row r="912">
      <c r="A912" s="8" t="n">
        <v>45758</v>
      </c>
      <c r="B912" s="3" t="n">
        <v>17.77</v>
      </c>
      <c r="C912" s="3" t="n">
        <v>45.12</v>
      </c>
      <c r="D912" s="3" t="n">
        <v>53.66</v>
      </c>
      <c r="E912" s="3" t="n">
        <v>13.48</v>
      </c>
      <c r="F912" s="3" t="n">
        <v>39.98</v>
      </c>
      <c r="G912" s="3" t="n">
        <v>11.94</v>
      </c>
      <c r="H912" s="3" t="n">
        <v>12.8</v>
      </c>
      <c r="I912" s="3" t="n">
        <v>2.24</v>
      </c>
      <c r="J912" s="3" t="n">
        <v>124.72</v>
      </c>
    </row>
    <row r="913">
      <c r="A913" s="8" t="n">
        <v>45761</v>
      </c>
      <c r="B913" s="3" t="n">
        <v>18.47</v>
      </c>
      <c r="C913" s="3" t="n">
        <v>45.82</v>
      </c>
      <c r="D913" s="3" t="n">
        <v>54.36</v>
      </c>
      <c r="E913" s="3" t="n">
        <v>13.68</v>
      </c>
      <c r="F913" s="3" t="n">
        <v>40.29</v>
      </c>
      <c r="G913" s="3" t="n">
        <v>12.17</v>
      </c>
      <c r="H913" s="3" t="n">
        <v>13.01</v>
      </c>
      <c r="I913" s="3" t="n">
        <v>2.25</v>
      </c>
      <c r="J913" s="3" t="n">
        <v>126.41</v>
      </c>
    </row>
    <row r="914">
      <c r="A914" s="8" t="n">
        <v>45762</v>
      </c>
      <c r="B914" s="3" t="n">
        <v>18.5</v>
      </c>
      <c r="C914" s="3" t="n">
        <v>45.82</v>
      </c>
      <c r="D914" s="3" t="n">
        <v>53.81</v>
      </c>
      <c r="E914" s="3" t="n">
        <v>13.66</v>
      </c>
      <c r="F914" s="3" t="n">
        <v>40.61</v>
      </c>
      <c r="G914" s="3" t="n">
        <v>12.26</v>
      </c>
      <c r="H914" s="3" t="n">
        <v>12.8</v>
      </c>
      <c r="I914" s="3" t="n">
        <v>2.21</v>
      </c>
      <c r="J914" s="3" t="n">
        <v>126.2</v>
      </c>
    </row>
    <row r="915">
      <c r="A915" s="8" t="n">
        <v>45763</v>
      </c>
      <c r="B915" s="3" t="n">
        <v>18.51</v>
      </c>
      <c r="C915" s="3" t="n">
        <v>45.84</v>
      </c>
      <c r="D915" s="3" t="n">
        <v>52.56</v>
      </c>
      <c r="E915" s="3" t="n">
        <v>13.89</v>
      </c>
      <c r="F915" s="3" t="n">
        <v>40.45</v>
      </c>
      <c r="G915" s="3" t="n">
        <v>12.06</v>
      </c>
      <c r="H915" s="3" t="n">
        <v>12.64</v>
      </c>
      <c r="I915" s="3" t="n">
        <v>2.21</v>
      </c>
      <c r="J915" s="3" t="n">
        <v>125.28</v>
      </c>
    </row>
    <row r="916">
      <c r="A916" s="8" t="n">
        <v>45764</v>
      </c>
      <c r="B916" s="3" t="n">
        <v>18.88</v>
      </c>
      <c r="C916" s="3" t="n">
        <v>45.95</v>
      </c>
      <c r="D916" s="3" t="n">
        <v>52.88</v>
      </c>
      <c r="E916" s="3" t="n">
        <v>14</v>
      </c>
      <c r="F916" s="3" t="n">
        <v>40.74</v>
      </c>
      <c r="G916" s="3" t="n">
        <v>12.18</v>
      </c>
      <c r="H916" s="3" t="n">
        <v>12.8</v>
      </c>
      <c r="I916" s="3" t="n">
        <v>2.16</v>
      </c>
      <c r="J916" s="3" t="n">
        <v>126.53</v>
      </c>
    </row>
    <row r="917">
      <c r="A917" s="8" t="n">
        <v>45769</v>
      </c>
      <c r="B917" s="3" t="n">
        <v>19.04</v>
      </c>
      <c r="C917" s="3" t="n">
        <v>46.24</v>
      </c>
      <c r="D917" s="3" t="n">
        <v>53.82</v>
      </c>
      <c r="E917" s="3" t="n">
        <v>14.02</v>
      </c>
      <c r="F917" s="3" t="n">
        <v>40.9</v>
      </c>
      <c r="G917" s="3" t="n">
        <v>12.42</v>
      </c>
      <c r="H917" s="3" t="n">
        <v>12.81</v>
      </c>
      <c r="I917" s="3" t="n">
        <v>2.21</v>
      </c>
      <c r="J917" s="3" t="n">
        <v>127.33</v>
      </c>
    </row>
    <row r="918">
      <c r="A918" s="8" t="n">
        <v>45770</v>
      </c>
      <c r="B918" s="3" t="n">
        <v>19.39</v>
      </c>
      <c r="C918" s="3" t="n">
        <v>46.27</v>
      </c>
      <c r="D918" s="3" t="n">
        <v>54.46</v>
      </c>
      <c r="E918" s="3" t="n">
        <v>14.05</v>
      </c>
      <c r="F918" s="3" t="n">
        <v>41.18</v>
      </c>
      <c r="G918" s="3" t="n">
        <v>12.65</v>
      </c>
      <c r="H918" s="3" t="n">
        <v>12.91</v>
      </c>
      <c r="I918" s="3" t="n">
        <v>2.24</v>
      </c>
      <c r="J918" s="3" t="n">
        <v>129.08</v>
      </c>
    </row>
    <row r="919">
      <c r="A919" s="8" t="n">
        <v>45771</v>
      </c>
      <c r="B919" s="3" t="n">
        <v>19.93</v>
      </c>
      <c r="C919" s="3" t="n">
        <v>48.59</v>
      </c>
      <c r="D919" s="3" t="n">
        <v>55.31</v>
      </c>
      <c r="E919" s="3" t="n">
        <v>14.15</v>
      </c>
      <c r="F919" s="3" t="n">
        <v>41.62</v>
      </c>
      <c r="G919" s="3" t="n">
        <v>13.27</v>
      </c>
      <c r="H919" s="3" t="n">
        <v>13.65</v>
      </c>
      <c r="I919" s="3" t="n">
        <v>2.44</v>
      </c>
      <c r="J919" s="3" t="n">
        <v>131.38</v>
      </c>
    </row>
    <row r="920">
      <c r="A920" s="8" t="n">
        <v>45772</v>
      </c>
      <c r="B920" s="3" t="n">
        <v>19.68</v>
      </c>
      <c r="C920" s="3" t="n">
        <v>49.89</v>
      </c>
      <c r="D920" s="3" t="n">
        <v>53.85</v>
      </c>
      <c r="E920" s="3" t="n">
        <v>14.09</v>
      </c>
      <c r="F920" s="3" t="n">
        <v>42.05</v>
      </c>
      <c r="G920" s="3" t="n">
        <v>13.39</v>
      </c>
      <c r="H920" s="3" t="n">
        <v>13.84</v>
      </c>
      <c r="I920" s="3" t="n">
        <v>2.41</v>
      </c>
      <c r="J920" s="3" t="n">
        <v>131.49</v>
      </c>
    </row>
    <row r="921">
      <c r="A921" s="8" t="n">
        <v>45775</v>
      </c>
      <c r="B921" s="3" t="n">
        <v>19.57</v>
      </c>
      <c r="C921" s="3" t="n">
        <v>50.32</v>
      </c>
      <c r="D921" s="3" t="n">
        <v>54.04</v>
      </c>
      <c r="E921" s="3" t="n">
        <v>14.3</v>
      </c>
      <c r="F921" s="3" t="n">
        <v>42.42</v>
      </c>
      <c r="G921" s="3" t="n">
        <v>13.42</v>
      </c>
      <c r="H921" s="3" t="n">
        <v>14.3</v>
      </c>
      <c r="I921" s="3" t="n">
        <v>2.44</v>
      </c>
      <c r="J921" s="3" t="n">
        <v>131.65</v>
      </c>
    </row>
    <row r="922">
      <c r="A922" s="8" t="n">
        <v>45776</v>
      </c>
      <c r="B922" s="3" t="n">
        <v>19.46</v>
      </c>
      <c r="C922" s="3" t="n">
        <v>50.47</v>
      </c>
      <c r="D922" s="3" t="n">
        <v>53.84</v>
      </c>
      <c r="E922" s="3" t="n">
        <v>14.51</v>
      </c>
      <c r="F922" s="3" t="n">
        <v>41.83</v>
      </c>
      <c r="G922" s="3" t="n">
        <v>13.23</v>
      </c>
      <c r="H922" s="3" t="n">
        <v>14.54</v>
      </c>
      <c r="I922" s="3" t="n">
        <v>2.36</v>
      </c>
      <c r="J922" s="3" t="n">
        <v>131.86</v>
      </c>
    </row>
    <row r="923">
      <c r="A923" s="8" t="n">
        <v>45777</v>
      </c>
      <c r="B923" s="3" t="n">
        <v>19.4</v>
      </c>
      <c r="C923" s="3" t="n">
        <v>44.64</v>
      </c>
      <c r="D923" s="3" t="n">
        <v>52.86</v>
      </c>
      <c r="E923" s="3" t="n">
        <v>14.57</v>
      </c>
      <c r="F923" s="3" t="n">
        <v>42.77</v>
      </c>
      <c r="G923" s="3" t="n">
        <v>13.49</v>
      </c>
      <c r="H923" s="3" t="n">
        <v>14.61</v>
      </c>
      <c r="I923" s="3" t="n">
        <v>2.32</v>
      </c>
      <c r="J923" s="3" t="n">
        <v>131.63</v>
      </c>
    </row>
    <row r="924">
      <c r="A924" s="8" t="n">
        <v>45779</v>
      </c>
      <c r="B924" s="3" t="n">
        <v>19.27</v>
      </c>
      <c r="C924" s="3" t="n">
        <v>44.42</v>
      </c>
      <c r="D924" s="3" t="n">
        <v>52.8</v>
      </c>
      <c r="E924" s="3" t="n">
        <v>14.12</v>
      </c>
      <c r="F924" s="3" t="n">
        <v>42.15</v>
      </c>
      <c r="G924" s="3" t="n">
        <v>13.31</v>
      </c>
      <c r="H924" s="3" t="n">
        <v>14.88</v>
      </c>
      <c r="I924" s="3" t="n">
        <v>2.33</v>
      </c>
      <c r="J924" s="3" t="n">
        <v>131.85</v>
      </c>
    </row>
    <row r="925">
      <c r="A925" s="8" t="n">
        <v>45782</v>
      </c>
      <c r="B925" s="3" t="n">
        <v>18.9</v>
      </c>
      <c r="C925" s="3" t="n">
        <v>42.53</v>
      </c>
      <c r="D925" s="3" t="n">
        <v>52.96</v>
      </c>
      <c r="E925" s="3" t="n">
        <v>14.06</v>
      </c>
      <c r="F925" s="3" t="n">
        <v>41.94</v>
      </c>
      <c r="G925" s="3" t="n">
        <v>13.21</v>
      </c>
      <c r="H925" s="3" t="n">
        <v>14.65</v>
      </c>
      <c r="I925" s="3" t="n">
        <v>2.26</v>
      </c>
      <c r="J925" s="3" t="n">
        <v>130.34</v>
      </c>
    </row>
    <row r="926">
      <c r="A926" s="8" t="n">
        <v>45783</v>
      </c>
      <c r="B926" s="3" t="n">
        <v>19.05</v>
      </c>
      <c r="C926" s="3" t="n">
        <v>42.95</v>
      </c>
      <c r="D926" s="3" t="n">
        <v>53</v>
      </c>
      <c r="E926" s="3" t="n">
        <v>14.21</v>
      </c>
      <c r="F926" s="3" t="n">
        <v>38.82</v>
      </c>
      <c r="G926" s="3" t="n">
        <v>13.16</v>
      </c>
      <c r="H926" s="3" t="n">
        <v>14.31</v>
      </c>
      <c r="I926" s="3" t="n">
        <v>2.27</v>
      </c>
      <c r="J926" s="3" t="n">
        <v>130.38</v>
      </c>
    </row>
    <row r="927">
      <c r="A927" s="8" t="n">
        <v>45784</v>
      </c>
      <c r="B927" s="3" t="n">
        <v>18.75</v>
      </c>
      <c r="C927" s="3" t="n">
        <v>41.95</v>
      </c>
      <c r="D927" s="3" t="n">
        <v>52.9</v>
      </c>
      <c r="E927" s="3" t="n">
        <v>14.27</v>
      </c>
      <c r="F927" s="3" t="n">
        <v>39.21</v>
      </c>
      <c r="G927" s="3" t="n">
        <v>13.15</v>
      </c>
      <c r="H927" s="3" t="n">
        <v>14.37</v>
      </c>
      <c r="I927" s="3" t="n">
        <v>2.25</v>
      </c>
      <c r="J927" s="3" t="n">
        <v>130.21</v>
      </c>
    </row>
    <row r="928">
      <c r="A928" s="8" t="n">
        <v>45785</v>
      </c>
      <c r="B928" s="3" t="n">
        <v>19.21</v>
      </c>
      <c r="C928" s="3" t="n">
        <v>42.21</v>
      </c>
      <c r="D928" s="3" t="n">
        <v>52.74</v>
      </c>
      <c r="E928" s="3" t="n">
        <v>14.37</v>
      </c>
      <c r="F928" s="3" t="n">
        <v>38.19</v>
      </c>
      <c r="G928" s="3" t="n">
        <v>14.25</v>
      </c>
      <c r="H928" s="3" t="n">
        <v>15.44</v>
      </c>
      <c r="I928" s="3" t="n">
        <v>2.46</v>
      </c>
      <c r="J928" s="3" t="n">
        <v>133.04</v>
      </c>
    </row>
    <row r="929">
      <c r="A929" s="8" t="n">
        <v>45786</v>
      </c>
      <c r="B929" s="3" t="n">
        <v>17.85</v>
      </c>
      <c r="C929" s="3" t="n">
        <v>41.79</v>
      </c>
      <c r="D929" s="3" t="n">
        <v>52.95</v>
      </c>
      <c r="E929" s="3" t="n">
        <v>14.28</v>
      </c>
      <c r="F929" s="3" t="n">
        <v>38.33</v>
      </c>
      <c r="G929" s="3" t="n">
        <v>14.53</v>
      </c>
      <c r="H929" s="3" t="n">
        <v>16.2</v>
      </c>
      <c r="I929" s="3" t="n">
        <v>2.35</v>
      </c>
      <c r="J929" s="3" t="n">
        <v>133.24</v>
      </c>
    </row>
    <row r="930">
      <c r="A930" s="8" t="n">
        <v>45789</v>
      </c>
      <c r="B930" s="3" t="n">
        <v>17.31</v>
      </c>
      <c r="C930" s="3" t="n">
        <v>42.67</v>
      </c>
      <c r="D930" s="3" t="n">
        <v>54.28</v>
      </c>
      <c r="E930" s="3" t="n">
        <v>14.29</v>
      </c>
      <c r="F930" s="3" t="n">
        <v>37.93</v>
      </c>
      <c r="G930" s="3" t="n">
        <v>14.36</v>
      </c>
      <c r="H930" s="3" t="n">
        <v>16.45</v>
      </c>
      <c r="I930" s="3" t="n">
        <v>2.39</v>
      </c>
      <c r="J930" s="3" t="n">
        <v>133.39</v>
      </c>
    </row>
    <row r="931">
      <c r="A931" s="8" t="n">
        <v>45790</v>
      </c>
      <c r="B931" s="3" t="n">
        <v>18.14</v>
      </c>
      <c r="C931" s="3" t="n">
        <v>44</v>
      </c>
      <c r="D931" s="3" t="n">
        <v>55.17</v>
      </c>
      <c r="E931" s="3" t="n">
        <v>14.25</v>
      </c>
      <c r="F931" s="3" t="n">
        <v>38.3</v>
      </c>
      <c r="G931" s="3" t="n">
        <v>14.95</v>
      </c>
      <c r="H931" s="3" t="n">
        <v>16.85</v>
      </c>
      <c r="I931" s="3" t="n">
        <v>2.66</v>
      </c>
      <c r="J931" s="3" t="n">
        <v>135.61</v>
      </c>
    </row>
    <row r="932">
      <c r="A932" s="8" t="n">
        <v>45791</v>
      </c>
      <c r="B932" s="3" t="n">
        <v>17.65</v>
      </c>
      <c r="C932" s="3" t="n">
        <v>44.07</v>
      </c>
      <c r="D932" s="3" t="n">
        <v>54.9</v>
      </c>
      <c r="E932" s="3" t="n">
        <v>14.23</v>
      </c>
      <c r="F932" s="3" t="n">
        <v>38.51</v>
      </c>
      <c r="G932" s="3" t="n">
        <v>14.65</v>
      </c>
      <c r="H932" s="3" t="n">
        <v>16.83</v>
      </c>
      <c r="I932" s="3" t="n">
        <v>2.66</v>
      </c>
      <c r="J932" s="3" t="n">
        <v>135.19</v>
      </c>
    </row>
    <row r="933">
      <c r="A933" s="8" t="n">
        <v>45792</v>
      </c>
      <c r="B933" s="3" t="n">
        <v>17.89</v>
      </c>
      <c r="C933" s="3" t="n">
        <v>44.17</v>
      </c>
      <c r="D933" s="3" t="n">
        <v>55.45</v>
      </c>
      <c r="E933" s="3" t="n">
        <v>14.41</v>
      </c>
      <c r="F933" s="3" t="n">
        <v>38.51</v>
      </c>
      <c r="G933" s="3" t="n">
        <v>14.77</v>
      </c>
      <c r="H933" s="3" t="n">
        <v>17.42</v>
      </c>
      <c r="I933" s="3" t="n">
        <v>2.7</v>
      </c>
      <c r="J933" s="3" t="n">
        <v>136.07</v>
      </c>
    </row>
    <row r="934">
      <c r="A934" s="8" t="n">
        <v>45793</v>
      </c>
      <c r="B934" s="3" t="n">
        <v>18.22</v>
      </c>
      <c r="C934" s="3" t="n">
        <v>45</v>
      </c>
      <c r="D934" s="3" t="n">
        <v>55.49</v>
      </c>
      <c r="E934" s="3" t="n">
        <v>14.39</v>
      </c>
      <c r="F934" s="3" t="n">
        <v>37.79</v>
      </c>
      <c r="G934" s="3" t="n">
        <v>14.77</v>
      </c>
      <c r="H934" s="3" t="n">
        <v>17.53</v>
      </c>
      <c r="I934" s="3" t="n">
        <v>2.82</v>
      </c>
      <c r="J934" s="3" t="n">
        <v>136.11</v>
      </c>
    </row>
    <row r="935">
      <c r="A935" s="8" t="n">
        <v>45796</v>
      </c>
      <c r="B935" s="3" t="n">
        <v>18.17</v>
      </c>
      <c r="C935" s="3" t="n">
        <v>44.55</v>
      </c>
      <c r="D935" s="3" t="n">
        <v>55.34</v>
      </c>
      <c r="E935" s="3" t="n">
        <v>14.32</v>
      </c>
      <c r="F935" s="3" t="n">
        <v>38.23</v>
      </c>
      <c r="G935" s="3" t="n">
        <v>14.82</v>
      </c>
      <c r="H935" s="3" t="n">
        <v>17.99</v>
      </c>
      <c r="I935" s="3" t="n">
        <v>2.82</v>
      </c>
      <c r="J935" s="3" t="n">
        <v>136.42</v>
      </c>
    </row>
    <row r="936">
      <c r="A936" s="8" t="n">
        <v>45797</v>
      </c>
      <c r="B936" s="3" t="n">
        <v>18.61</v>
      </c>
      <c r="C936" s="3" t="n">
        <v>44.53</v>
      </c>
      <c r="D936" s="3" t="n">
        <v>55.35</v>
      </c>
      <c r="E936" s="3" t="n">
        <v>14.29</v>
      </c>
      <c r="F936" s="3" t="n">
        <v>38.39</v>
      </c>
      <c r="G936" s="3" t="n">
        <v>14.95</v>
      </c>
      <c r="H936" s="3" t="n">
        <v>18.3</v>
      </c>
      <c r="I936" s="3" t="n">
        <v>2.86</v>
      </c>
      <c r="J936" s="3" t="n">
        <v>136.84</v>
      </c>
    </row>
    <row r="937">
      <c r="A937" s="8" t="n">
        <v>45798</v>
      </c>
      <c r="B937" s="3" t="n">
        <v>17.98</v>
      </c>
      <c r="C937" s="3" t="n">
        <v>43.45</v>
      </c>
      <c r="D937" s="3" t="n">
        <v>54.64</v>
      </c>
      <c r="E937" s="3" t="n">
        <v>14.16</v>
      </c>
      <c r="F937" s="3" t="n">
        <v>38.11</v>
      </c>
      <c r="G937" s="3" t="n">
        <v>14.5</v>
      </c>
      <c r="H937" s="3" t="n">
        <v>17.61</v>
      </c>
      <c r="I937" s="3" t="n">
        <v>2.84</v>
      </c>
      <c r="J937" s="3" t="n">
        <v>134.59</v>
      </c>
    </row>
    <row r="938">
      <c r="A938" s="8" t="n">
        <v>45799</v>
      </c>
      <c r="B938" s="3" t="n">
        <v>18.15</v>
      </c>
      <c r="C938" s="3" t="n">
        <v>43.67</v>
      </c>
      <c r="D938" s="3" t="n">
        <v>54.23</v>
      </c>
      <c r="E938" s="3" t="n">
        <v>14.1</v>
      </c>
      <c r="F938" s="3" t="n">
        <v>37.76</v>
      </c>
      <c r="G938" s="3" t="n">
        <v>14.34</v>
      </c>
      <c r="H938" s="3" t="n">
        <v>17.67</v>
      </c>
      <c r="I938" s="3" t="n">
        <v>2.84</v>
      </c>
      <c r="J938" s="3" t="n">
        <v>134.05</v>
      </c>
    </row>
    <row r="939">
      <c r="A939" s="8" t="n">
        <v>45800</v>
      </c>
      <c r="B939" s="3" t="n">
        <v>18.06</v>
      </c>
      <c r="C939" s="3" t="n">
        <v>43.69</v>
      </c>
      <c r="D939" s="3" t="n">
        <v>54.32</v>
      </c>
      <c r="E939" s="3" t="n">
        <v>14.24</v>
      </c>
      <c r="F939" s="3" t="n">
        <v>38.1</v>
      </c>
      <c r="G939" s="3" t="n">
        <v>14.39</v>
      </c>
      <c r="H939" s="3" t="n">
        <v>17.6</v>
      </c>
      <c r="I939" s="3" t="n">
        <v>2.84</v>
      </c>
      <c r="J939" s="3" t="n">
        <v>134.47</v>
      </c>
    </row>
    <row r="940">
      <c r="A940" s="8" t="n">
        <v>45803</v>
      </c>
      <c r="B940" s="3" t="n">
        <v>18.56</v>
      </c>
      <c r="C940" s="3" t="n">
        <v>43.73</v>
      </c>
      <c r="D940" s="3" t="n">
        <v>54.01</v>
      </c>
      <c r="E940" s="3" t="n">
        <v>14.26</v>
      </c>
      <c r="F940" s="3" t="n">
        <v>37.96</v>
      </c>
      <c r="G940" s="3" t="n">
        <v>14.33</v>
      </c>
      <c r="H940" s="3" t="n">
        <v>17.74</v>
      </c>
      <c r="I940" s="3" t="n">
        <v>2.83</v>
      </c>
      <c r="J940" s="3" t="n">
        <v>135.01</v>
      </c>
    </row>
    <row r="941">
      <c r="A941" s="8" t="n">
        <v>45804</v>
      </c>
      <c r="B941" s="3" t="n">
        <v>19.1</v>
      </c>
      <c r="C941" s="3" t="n">
        <v>44.59</v>
      </c>
      <c r="D941" s="3" t="n">
        <v>53.84</v>
      </c>
      <c r="E941" s="3" t="n">
        <v>14.2</v>
      </c>
      <c r="F941" s="3" t="n">
        <v>38.33</v>
      </c>
      <c r="G941" s="3" t="n">
        <v>14.38</v>
      </c>
      <c r="H941" s="3" t="n">
        <v>17.95</v>
      </c>
      <c r="I941" s="3" t="n">
        <v>2.92</v>
      </c>
      <c r="J941" s="3" t="n">
        <v>136.46</v>
      </c>
    </row>
    <row r="942">
      <c r="A942" s="8" t="n">
        <v>45805</v>
      </c>
      <c r="B942" s="3" t="n">
        <v>18.97</v>
      </c>
      <c r="C942" s="3" t="n">
        <v>44.66</v>
      </c>
      <c r="D942" s="3" t="n">
        <v>53.41</v>
      </c>
      <c r="E942" s="3" t="n">
        <v>14.1</v>
      </c>
      <c r="F942" s="3" t="n">
        <v>38.16</v>
      </c>
      <c r="G942" s="3" t="n">
        <v>14.3</v>
      </c>
      <c r="H942" s="3" t="n">
        <v>18.17</v>
      </c>
      <c r="I942" s="3" t="n">
        <v>2.91</v>
      </c>
      <c r="J942" s="3" t="n">
        <v>135.71</v>
      </c>
    </row>
    <row r="943">
      <c r="A943" s="8" t="n">
        <v>45806</v>
      </c>
      <c r="B943" s="3" t="n">
        <v>19.18</v>
      </c>
      <c r="C943" s="3" t="n">
        <v>44.02</v>
      </c>
      <c r="D943" s="3" t="n">
        <v>53.45</v>
      </c>
      <c r="E943" s="3" t="n">
        <v>14.06</v>
      </c>
      <c r="F943" s="3" t="n">
        <v>37.93</v>
      </c>
      <c r="G943" s="3" t="n">
        <v>14.1</v>
      </c>
      <c r="H943" s="3" t="n">
        <v>17.96</v>
      </c>
      <c r="I943" s="3" t="n">
        <v>2.85</v>
      </c>
      <c r="J943" s="3" t="n">
        <v>135.36</v>
      </c>
    </row>
    <row r="944">
      <c r="A944" s="8" t="n">
        <v>45807</v>
      </c>
      <c r="B944" s="3" t="n">
        <v>18.82</v>
      </c>
      <c r="C944" s="3" t="n">
        <v>42.35</v>
      </c>
      <c r="D944" s="3" t="n">
        <v>52.1</v>
      </c>
      <c r="E944" s="3" t="n">
        <v>14.03</v>
      </c>
      <c r="F944" s="3" t="n">
        <v>37.51</v>
      </c>
      <c r="G944" s="3" t="n">
        <v>13.95</v>
      </c>
      <c r="H944" s="3" t="n">
        <v>18.16</v>
      </c>
      <c r="I944" s="3" t="n">
        <v>2.86</v>
      </c>
      <c r="J944" s="3" t="n">
        <v>133.99</v>
      </c>
    </row>
    <row r="945">
      <c r="A945" s="8" t="n">
        <v>45810</v>
      </c>
      <c r="B945" s="3" t="n">
        <v>19.18</v>
      </c>
      <c r="C945" s="3" t="n">
        <v>41.85</v>
      </c>
      <c r="D945" s="3" t="n">
        <v>52.56</v>
      </c>
      <c r="E945" s="3" t="n">
        <v>13.91</v>
      </c>
      <c r="F945" s="3" t="n">
        <v>36.99</v>
      </c>
      <c r="G945" s="3" t="n">
        <v>13.71</v>
      </c>
      <c r="H945" s="3" t="n">
        <v>18.35</v>
      </c>
      <c r="I945" s="3" t="n">
        <v>2.81</v>
      </c>
      <c r="J945" s="3" t="n">
        <v>133.6</v>
      </c>
    </row>
    <row r="946">
      <c r="A946" s="8" t="n">
        <v>45811</v>
      </c>
      <c r="B946" s="3" t="n">
        <v>19.59</v>
      </c>
      <c r="C946" s="3" t="n">
        <v>41.7</v>
      </c>
      <c r="D946" s="3" t="n">
        <v>52.53</v>
      </c>
      <c r="E946" s="3" t="n">
        <v>14.01</v>
      </c>
      <c r="F946" s="3" t="n">
        <v>36.65</v>
      </c>
      <c r="G946" s="3" t="n">
        <v>14.18</v>
      </c>
      <c r="H946" s="3" t="n">
        <v>18.81</v>
      </c>
      <c r="I946" s="3" t="n">
        <v>2.87</v>
      </c>
      <c r="J946" s="3" t="n">
        <v>134.4</v>
      </c>
    </row>
    <row r="947">
      <c r="A947" s="8" t="n">
        <v>45812</v>
      </c>
      <c r="B947" s="3" t="n">
        <v>19.65</v>
      </c>
      <c r="C947" s="3" t="n">
        <v>43.16</v>
      </c>
      <c r="D947" s="3" t="n">
        <v>52.77</v>
      </c>
      <c r="E947" s="3" t="n">
        <v>14.08</v>
      </c>
      <c r="F947" s="3" t="n">
        <v>36</v>
      </c>
      <c r="G947" s="3" t="n">
        <v>13.95</v>
      </c>
      <c r="H947" s="3" t="n">
        <v>18.42</v>
      </c>
      <c r="I947" s="3" t="n">
        <v>2.87</v>
      </c>
      <c r="J947" s="3" t="n">
        <v>133.81</v>
      </c>
    </row>
    <row r="948">
      <c r="A948" s="8" t="n">
        <v>45813</v>
      </c>
      <c r="B948" s="3" t="n">
        <v>19.26</v>
      </c>
      <c r="C948" s="3" t="n">
        <v>42.54</v>
      </c>
      <c r="D948" s="3" t="n">
        <v>52.91</v>
      </c>
      <c r="E948" s="3" t="n">
        <v>13.87</v>
      </c>
      <c r="F948" s="3" t="n">
        <v>36.3</v>
      </c>
      <c r="G948" s="3" t="n">
        <v>13.58</v>
      </c>
      <c r="H948" s="3" t="n">
        <v>18.42</v>
      </c>
      <c r="I948" s="3" t="n">
        <v>2.7</v>
      </c>
      <c r="J948" s="3" t="n">
        <v>133.25</v>
      </c>
    </row>
    <row r="949">
      <c r="A949" s="8" t="n">
        <v>45814</v>
      </c>
      <c r="B949" s="3" t="n">
        <v>19.08</v>
      </c>
      <c r="C949" s="3" t="n">
        <v>42.57</v>
      </c>
      <c r="D949" s="3" t="n">
        <v>52.98</v>
      </c>
      <c r="E949" s="3" t="n">
        <v>14.08</v>
      </c>
      <c r="F949" s="3" t="n">
        <v>36.44</v>
      </c>
      <c r="G949" s="3" t="n">
        <v>13.57</v>
      </c>
      <c r="H949" s="3" t="n">
        <v>17.56</v>
      </c>
      <c r="I949" s="3" t="n">
        <v>39.91</v>
      </c>
      <c r="J949" s="3" t="n">
        <v>133.06</v>
      </c>
    </row>
    <row r="950">
      <c r="A950" s="8" t="n">
        <v>45817</v>
      </c>
      <c r="B950" s="3" t="n">
        <v>18.85</v>
      </c>
      <c r="C950" s="3" t="n">
        <v>42.84</v>
      </c>
      <c r="D950" s="3" t="n">
        <v>53.29</v>
      </c>
      <c r="E950" s="3" t="n">
        <v>13.96</v>
      </c>
      <c r="F950" s="3" t="n">
        <v>36.28</v>
      </c>
      <c r="G950" s="3" t="n">
        <v>13.16</v>
      </c>
      <c r="H950" s="3" t="n">
        <v>17.89</v>
      </c>
      <c r="I950" s="3" t="n">
        <v>39.89</v>
      </c>
      <c r="J950" s="3" t="n">
        <v>132.73</v>
      </c>
    </row>
    <row r="951">
      <c r="A951" s="8" t="n">
        <v>45818</v>
      </c>
      <c r="B951" s="3" t="n">
        <v>19.15</v>
      </c>
      <c r="C951" s="3" t="n">
        <v>42.3</v>
      </c>
      <c r="D951" s="3" t="n">
        <v>53.65</v>
      </c>
      <c r="E951" s="3" t="n">
        <v>13.8</v>
      </c>
      <c r="F951" s="3" t="n">
        <v>35.5</v>
      </c>
      <c r="G951" s="3" t="n">
        <v>13.14</v>
      </c>
      <c r="H951" s="3" t="n">
        <v>18.31</v>
      </c>
      <c r="I951" s="3" t="n">
        <v>40.63</v>
      </c>
      <c r="J951" s="3" t="n">
        <v>133.35</v>
      </c>
    </row>
    <row r="952">
      <c r="A952" s="8" t="n">
        <v>45819</v>
      </c>
      <c r="B952" s="3" t="n">
        <v>19.23</v>
      </c>
      <c r="C952" s="3" t="n">
        <v>42.29</v>
      </c>
      <c r="D952" s="3" t="n">
        <v>53.18</v>
      </c>
      <c r="E952" s="3" t="n">
        <v>13.91</v>
      </c>
      <c r="F952" s="3" t="n">
        <v>35.13</v>
      </c>
      <c r="G952" s="3" t="n">
        <v>13.24</v>
      </c>
      <c r="H952" s="3" t="n">
        <v>18.47</v>
      </c>
      <c r="I952" s="3" t="n">
        <v>39.53</v>
      </c>
      <c r="J952" s="3" t="n">
        <v>133.97</v>
      </c>
    </row>
    <row r="953">
      <c r="A953" s="8" t="n">
        <v>45820</v>
      </c>
      <c r="B953" s="3" t="n">
        <v>19.04</v>
      </c>
      <c r="C953" s="3" t="n">
        <v>42.26</v>
      </c>
      <c r="D953" s="3" t="n">
        <v>52.83</v>
      </c>
      <c r="E953" s="3" t="n">
        <v>13.8</v>
      </c>
      <c r="F953" s="3" t="n">
        <v>35.29</v>
      </c>
      <c r="G953" s="3" t="n">
        <v>12.98</v>
      </c>
      <c r="H953" s="3" t="n">
        <v>18.44</v>
      </c>
      <c r="I953" s="3" t="n">
        <v>39.52</v>
      </c>
      <c r="J953" s="3" t="n">
        <v>134.66</v>
      </c>
    </row>
    <row r="954">
      <c r="A954" s="8" t="n">
        <v>45821</v>
      </c>
      <c r="B954" s="3" t="n">
        <v>19.13</v>
      </c>
      <c r="C954" s="3" t="n">
        <v>42.39</v>
      </c>
      <c r="D954" s="3" t="n">
        <v>52.13</v>
      </c>
      <c r="E954" s="3" t="n">
        <v>13.64</v>
      </c>
      <c r="F954" s="3" t="n">
        <v>35.51</v>
      </c>
      <c r="G954" s="3" t="n">
        <v>13.05</v>
      </c>
      <c r="H954" s="3" t="n">
        <v>18.36</v>
      </c>
      <c r="I954" s="3" t="n">
        <v>38.49</v>
      </c>
      <c r="J954" s="3" t="n">
        <v>133.99</v>
      </c>
    </row>
    <row r="955">
      <c r="A955" s="8" t="n">
        <v>45824</v>
      </c>
      <c r="B955" s="3" t="n">
        <v>19.48</v>
      </c>
      <c r="C955" s="3" t="n">
        <v>42.54</v>
      </c>
      <c r="D955" s="3" t="n">
        <v>53.83</v>
      </c>
      <c r="E955" s="3" t="n">
        <v>13.68</v>
      </c>
      <c r="F955" s="3" t="n">
        <v>35.82</v>
      </c>
      <c r="G955" s="3" t="n">
        <v>13.47</v>
      </c>
      <c r="H955" s="3" t="n">
        <v>18.82</v>
      </c>
      <c r="I955" s="3" t="n">
        <v>39.16</v>
      </c>
      <c r="J955" s="3" t="n">
        <v>136.07</v>
      </c>
    </row>
    <row r="956">
      <c r="A956" s="8" t="n">
        <v>45825</v>
      </c>
      <c r="B956" s="3" t="n">
        <v>18.5</v>
      </c>
      <c r="C956" s="3" t="n">
        <v>41.41</v>
      </c>
      <c r="D956" s="3" t="n">
        <v>51.41</v>
      </c>
      <c r="E956" s="3" t="n">
        <v>13.47</v>
      </c>
      <c r="F956" s="3" t="n">
        <v>35.52</v>
      </c>
      <c r="G956" s="3" t="n">
        <v>13.53</v>
      </c>
      <c r="H956" s="3" t="n">
        <v>18.65</v>
      </c>
      <c r="I956" s="3" t="n">
        <v>39.38</v>
      </c>
      <c r="J956" s="3" t="n">
        <v>135.52</v>
      </c>
    </row>
    <row r="957">
      <c r="A957" s="8" t="n">
        <v>45826</v>
      </c>
      <c r="B957" s="3" t="n">
        <v>18.48</v>
      </c>
      <c r="C957" s="3" t="n">
        <v>41.86</v>
      </c>
      <c r="D957" s="3" t="n">
        <v>51.24</v>
      </c>
      <c r="E957" s="3" t="n">
        <v>13.49</v>
      </c>
      <c r="F957" s="3" t="n">
        <v>35.53</v>
      </c>
      <c r="G957" s="3" t="n">
        <v>13.79</v>
      </c>
      <c r="H957" s="3" t="n">
        <v>18.72</v>
      </c>
      <c r="I957" s="3" t="n">
        <v>39.49</v>
      </c>
      <c r="J957" s="3" t="n">
        <v>135.42</v>
      </c>
    </row>
    <row r="958">
      <c r="A958" s="8" t="n">
        <v>45828</v>
      </c>
      <c r="B958" s="3" t="n">
        <v>17.97</v>
      </c>
      <c r="C958" s="3" t="n">
        <v>41.64</v>
      </c>
      <c r="D958" s="3" t="n">
        <v>49.92</v>
      </c>
      <c r="E958" s="3" t="n">
        <v>13.53</v>
      </c>
      <c r="F958" s="3" t="n">
        <v>35.19</v>
      </c>
      <c r="G958" s="3" t="n">
        <v>13.62</v>
      </c>
      <c r="H958" s="3" t="n">
        <v>18.56</v>
      </c>
      <c r="I958" s="3" t="n">
        <v>37.42</v>
      </c>
      <c r="J958" s="3" t="n">
        <v>133.9</v>
      </c>
    </row>
    <row r="959">
      <c r="A959" s="8" t="n">
        <v>45831</v>
      </c>
      <c r="B959" s="3" t="n">
        <v>17.48</v>
      </c>
      <c r="C959" s="3" t="n">
        <v>41.6</v>
      </c>
      <c r="D959" s="3" t="n">
        <v>50.55</v>
      </c>
      <c r="E959" s="3" t="n">
        <v>13.56</v>
      </c>
      <c r="F959" s="3" t="n">
        <v>35.51</v>
      </c>
      <c r="G959" s="3" t="n">
        <v>13.4</v>
      </c>
      <c r="H959" s="3" t="n">
        <v>19.01</v>
      </c>
      <c r="I959" s="3" t="n">
        <v>36.75</v>
      </c>
      <c r="J959" s="3" t="n">
        <v>133.47</v>
      </c>
    </row>
    <row r="960">
      <c r="A960" s="8" t="n">
        <v>45832</v>
      </c>
      <c r="B960" s="3" t="n">
        <v>17.84</v>
      </c>
      <c r="C960" s="3" t="n">
        <v>41.44</v>
      </c>
      <c r="D960" s="3" t="n">
        <v>50.54</v>
      </c>
      <c r="E960" s="3" t="n">
        <v>13.51</v>
      </c>
      <c r="F960" s="3" t="n">
        <v>35.41</v>
      </c>
      <c r="G960" s="3" t="n">
        <v>13.52</v>
      </c>
      <c r="H960" s="3" t="n">
        <v>19.29</v>
      </c>
      <c r="I960" s="3" t="n">
        <v>37.86</v>
      </c>
      <c r="J960" s="3" t="n">
        <v>134.07</v>
      </c>
    </row>
    <row r="961">
      <c r="A961" s="8" t="n">
        <v>45833</v>
      </c>
      <c r="B961" s="3" t="n">
        <v>17.75</v>
      </c>
      <c r="C961" s="3" t="n">
        <v>41.82</v>
      </c>
      <c r="D961" s="3" t="n">
        <v>50.48</v>
      </c>
      <c r="E961" s="3" t="n">
        <v>13.15</v>
      </c>
      <c r="F961" s="3" t="n">
        <v>35.05</v>
      </c>
      <c r="G961" s="3" t="n">
        <v>13.61</v>
      </c>
      <c r="H961" s="3" t="n">
        <v>18.99</v>
      </c>
      <c r="I961" s="3" t="n">
        <v>35.77</v>
      </c>
      <c r="J961" s="3" t="n">
        <v>132.55</v>
      </c>
    </row>
    <row r="962">
      <c r="A962" s="8" t="n">
        <v>45834</v>
      </c>
      <c r="B962" s="3" t="n">
        <v>17.87</v>
      </c>
      <c r="C962" s="3" t="n">
        <v>43.07</v>
      </c>
      <c r="D962" s="3" t="n">
        <v>52</v>
      </c>
      <c r="E962" s="3" t="n">
        <v>13.32</v>
      </c>
      <c r="F962" s="3" t="n">
        <v>35.19</v>
      </c>
      <c r="G962" s="3" t="n">
        <v>14.1</v>
      </c>
      <c r="H962" s="3" t="n">
        <v>19.53</v>
      </c>
      <c r="I962" s="3" t="n">
        <v>36.59</v>
      </c>
      <c r="J962" s="3" t="n">
        <v>133.96</v>
      </c>
    </row>
    <row r="963">
      <c r="A963" s="8" t="n">
        <v>45835</v>
      </c>
      <c r="B963" s="3" t="n">
        <v>17.96</v>
      </c>
      <c r="C963" s="3" t="n">
        <v>42.35</v>
      </c>
      <c r="D963" s="3" t="n">
        <v>53</v>
      </c>
      <c r="E963" s="3" t="n">
        <v>13.15</v>
      </c>
      <c r="F963" s="3" t="n">
        <v>35.23</v>
      </c>
      <c r="G963" s="3" t="n">
        <v>14.12</v>
      </c>
      <c r="H963" s="3" t="n">
        <v>19.56</v>
      </c>
      <c r="I963" s="3" t="n">
        <v>36.27</v>
      </c>
      <c r="J963" s="3" t="n">
        <v>133.79</v>
      </c>
    </row>
    <row r="964">
      <c r="A964" s="8" t="n">
        <v>45838</v>
      </c>
      <c r="B964" s="3" t="n">
        <v>18.53</v>
      </c>
      <c r="C964" s="3" t="n">
        <v>42.78</v>
      </c>
      <c r="D964" s="3" t="n">
        <v>52.65</v>
      </c>
      <c r="E964" s="3" t="n">
        <v>13.32</v>
      </c>
      <c r="F964" s="3" t="n">
        <v>35.8</v>
      </c>
      <c r="G964" s="3" t="n">
        <v>14.58</v>
      </c>
      <c r="H964" s="3" t="n">
        <v>19.68</v>
      </c>
      <c r="I964" s="3" t="n">
        <v>36.85</v>
      </c>
      <c r="J964" s="3" t="n">
        <v>135.85</v>
      </c>
    </row>
    <row r="965">
      <c r="A965" s="8" t="n">
        <v>45839</v>
      </c>
      <c r="B965" s="3" t="n">
        <v>18.68</v>
      </c>
      <c r="C965" s="3" t="n">
        <v>42.5</v>
      </c>
      <c r="D965" s="3" t="n">
        <v>53.36</v>
      </c>
      <c r="E965" s="3" t="n">
        <v>13.38</v>
      </c>
      <c r="F965" s="3" t="n">
        <v>36.43</v>
      </c>
      <c r="G965" s="3" t="n">
        <v>14.5</v>
      </c>
      <c r="H965" s="3" t="n">
        <v>19.65</v>
      </c>
      <c r="I965" s="3" t="n">
        <v>36.4</v>
      </c>
      <c r="J965" s="3" t="n">
        <v>136.52</v>
      </c>
    </row>
    <row r="966">
      <c r="A966" s="8" t="n">
        <v>45840</v>
      </c>
      <c r="B966" s="3" t="n">
        <v>18.12</v>
      </c>
      <c r="C966" s="3" t="n">
        <v>42.43</v>
      </c>
      <c r="D966" s="3" t="n">
        <v>55.3</v>
      </c>
      <c r="E966" s="3" t="n">
        <v>13.65</v>
      </c>
      <c r="F966" s="3" t="n">
        <v>36.25</v>
      </c>
      <c r="G966" s="3" t="n">
        <v>14.45</v>
      </c>
      <c r="H966" s="3" t="n">
        <v>19</v>
      </c>
      <c r="I966" s="3" t="n">
        <v>34.53</v>
      </c>
      <c r="J966" s="3" t="n">
        <v>135.91</v>
      </c>
    </row>
    <row r="967">
      <c r="A967" s="8" t="n">
        <v>45841</v>
      </c>
      <c r="B967" s="3" t="n">
        <v>18.64</v>
      </c>
      <c r="C967" s="3" t="n">
        <v>42.71</v>
      </c>
      <c r="D967" s="3" t="n">
        <v>55.04</v>
      </c>
      <c r="E967" s="3" t="n">
        <v>13.48</v>
      </c>
      <c r="F967" s="3" t="n">
        <v>36.49</v>
      </c>
      <c r="G967" s="3" t="n">
        <v>14.62</v>
      </c>
      <c r="H967" s="3" t="n">
        <v>19.29</v>
      </c>
      <c r="I967" s="3" t="n">
        <v>34.95</v>
      </c>
      <c r="J967" s="3" t="n">
        <v>137.92</v>
      </c>
    </row>
    <row r="968">
      <c r="A968" s="8" t="n">
        <v>45842</v>
      </c>
      <c r="B968" s="3" t="n">
        <v>18.58</v>
      </c>
      <c r="C968" s="3" t="n">
        <v>43</v>
      </c>
      <c r="D968" s="3" t="n">
        <v>55.2</v>
      </c>
      <c r="E968" s="3" t="n">
        <v>13.52</v>
      </c>
      <c r="F968" s="3" t="n">
        <v>36.51</v>
      </c>
      <c r="G968" s="3" t="n">
        <v>14.71</v>
      </c>
      <c r="H968" s="3" t="n">
        <v>19.34</v>
      </c>
      <c r="I968" s="3" t="n">
        <v>35.61</v>
      </c>
      <c r="J968" s="3" t="n">
        <v>138.13</v>
      </c>
    </row>
    <row r="969">
      <c r="A969" s="8" t="n">
        <v>45845</v>
      </c>
      <c r="B969" s="3" t="n">
        <v>18.3</v>
      </c>
      <c r="C969" s="3" t="n">
        <v>42.33</v>
      </c>
      <c r="D969" s="3" t="n">
        <v>54.39</v>
      </c>
      <c r="E969" s="3" t="n">
        <v>13.4</v>
      </c>
      <c r="F969" s="3" t="n">
        <v>36.09</v>
      </c>
      <c r="G969" s="3" t="n">
        <v>14.65</v>
      </c>
      <c r="H969" s="3" t="n">
        <v>19.28</v>
      </c>
      <c r="I969" s="3" t="n">
        <v>34.86</v>
      </c>
      <c r="J969" s="3" t="n">
        <v>136.45</v>
      </c>
    </row>
    <row r="970">
      <c r="A970" s="8" t="n">
        <v>45846</v>
      </c>
      <c r="B970" s="3" t="n">
        <v>18.14</v>
      </c>
      <c r="C970" s="3" t="n">
        <v>40.61</v>
      </c>
      <c r="D970" s="3" t="n">
        <v>54.58</v>
      </c>
      <c r="E970" s="3" t="n">
        <v>13.38</v>
      </c>
      <c r="F970" s="3" t="n">
        <v>35.79</v>
      </c>
      <c r="G970" s="3" t="n">
        <v>14.59</v>
      </c>
      <c r="H970" s="3" t="n">
        <v>19.3</v>
      </c>
      <c r="I970" s="3" t="n">
        <v>34.32</v>
      </c>
      <c r="J970" s="3" t="n">
        <v>136.15</v>
      </c>
    </row>
    <row r="971">
      <c r="A971" s="8" t="n">
        <v>45847</v>
      </c>
      <c r="B971" s="3" t="n">
        <v>17.46</v>
      </c>
      <c r="C971" s="3" t="n">
        <v>40.11</v>
      </c>
      <c r="D971" s="3" t="n">
        <v>54.04</v>
      </c>
      <c r="E971" s="3" t="n">
        <v>13.31</v>
      </c>
      <c r="F971" s="3" t="n">
        <v>35.22</v>
      </c>
      <c r="G971" s="3" t="n">
        <v>14.48</v>
      </c>
      <c r="H971" s="3" t="n">
        <v>19.4</v>
      </c>
      <c r="I971" s="3" t="n">
        <v>33.63</v>
      </c>
      <c r="J971" s="3" t="n">
        <v>134.11</v>
      </c>
    </row>
    <row r="972">
      <c r="A972" s="8" t="n">
        <v>45848</v>
      </c>
      <c r="B972" s="3" t="n">
        <v>17.18</v>
      </c>
      <c r="C972" s="3" t="n">
        <v>39.9</v>
      </c>
      <c r="D972" s="3" t="n">
        <v>55.28</v>
      </c>
      <c r="E972" s="3" t="n">
        <v>13.23</v>
      </c>
      <c r="F972" s="3" t="n">
        <v>35.3</v>
      </c>
      <c r="G972" s="3" t="n">
        <v>14.07</v>
      </c>
      <c r="H972" s="3" t="n">
        <v>19.16</v>
      </c>
      <c r="I972" s="3" t="n">
        <v>33.11</v>
      </c>
      <c r="J972" s="3" t="n">
        <v>133.61</v>
      </c>
    </row>
    <row r="973">
      <c r="A973" s="8" t="n">
        <v>45849</v>
      </c>
      <c r="B973" s="3" t="n">
        <v>17.12</v>
      </c>
      <c r="C973" s="3" t="n">
        <v>39.75</v>
      </c>
      <c r="D973" s="3" t="n">
        <v>56</v>
      </c>
      <c r="E973" s="3" t="n">
        <v>13.3</v>
      </c>
      <c r="F973" s="3" t="n">
        <v>35.22</v>
      </c>
      <c r="G973" s="3" t="n">
        <v>13.73</v>
      </c>
      <c r="H973" s="3" t="n">
        <v>18.7</v>
      </c>
      <c r="I973" s="3" t="n">
        <v>32.32</v>
      </c>
      <c r="J973" s="3" t="n">
        <v>133.5</v>
      </c>
    </row>
    <row r="974">
      <c r="A974" s="8" t="n">
        <v>45852</v>
      </c>
      <c r="B974" s="3" t="n">
        <v>17.39</v>
      </c>
      <c r="C974" s="3" t="n">
        <v>39.53</v>
      </c>
      <c r="D974" s="3" t="n">
        <v>55.36</v>
      </c>
      <c r="E974" s="3" t="n">
        <v>13.29</v>
      </c>
      <c r="F974" s="3" t="n">
        <v>35.31</v>
      </c>
      <c r="G974" s="3" t="n">
        <v>13.61</v>
      </c>
      <c r="H974" s="3" t="n">
        <v>18.17</v>
      </c>
      <c r="I974" s="3" t="n">
        <v>33.3</v>
      </c>
      <c r="J974" s="3" t="n">
        <v>132.09</v>
      </c>
    </row>
    <row r="975">
      <c r="A975" s="8" t="n">
        <v>45853</v>
      </c>
      <c r="B975" s="3" t="n">
        <v>17.45</v>
      </c>
      <c r="C975" s="3" t="n">
        <v>39.67</v>
      </c>
      <c r="D975" s="3" t="n">
        <v>53.91</v>
      </c>
      <c r="E975" s="3" t="n">
        <v>13.27</v>
      </c>
      <c r="F975" s="3" t="n">
        <v>34.94</v>
      </c>
      <c r="G975" s="3" t="n">
        <v>13.73</v>
      </c>
      <c r="H975" s="3" t="n">
        <v>18.54</v>
      </c>
      <c r="I975" s="3" t="n">
        <v>33.58</v>
      </c>
      <c r="J975" s="3" t="n">
        <v>132.37</v>
      </c>
    </row>
    <row r="976">
      <c r="A976" s="8" t="n">
        <v>45854</v>
      </c>
      <c r="B976" s="3" t="n">
        <v>17</v>
      </c>
      <c r="C976" s="3" t="n">
        <v>41.12</v>
      </c>
      <c r="D976" s="3" t="n">
        <v>54.4</v>
      </c>
      <c r="E976" s="3" t="n">
        <v>13.68</v>
      </c>
      <c r="F976" s="3" t="n">
        <v>34.84</v>
      </c>
      <c r="G976" s="3" t="n">
        <v>13.68</v>
      </c>
      <c r="H976" s="3" t="n">
        <v>18.56</v>
      </c>
      <c r="I976" s="3" t="n">
        <v>33.5</v>
      </c>
      <c r="J976" s="3" t="n">
        <v>132.4</v>
      </c>
    </row>
    <row r="977">
      <c r="A977" s="8" t="n">
        <v>45855</v>
      </c>
      <c r="B977" s="3" t="n">
        <v>16.72</v>
      </c>
      <c r="C977" s="3" t="n">
        <v>42.09</v>
      </c>
      <c r="D977" s="3" t="n">
        <v>54.3</v>
      </c>
      <c r="E977" s="3" t="n">
        <v>13.46</v>
      </c>
      <c r="F977" s="3" t="n">
        <v>34.83</v>
      </c>
      <c r="G977" s="3" t="n">
        <v>13.74</v>
      </c>
      <c r="H977" s="3" t="n">
        <v>18.72</v>
      </c>
      <c r="I977" s="3" t="n">
        <v>33.67</v>
      </c>
      <c r="J977" s="3" t="n">
        <v>132.47</v>
      </c>
    </row>
    <row r="978">
      <c r="A978" s="8" t="n">
        <v>45856</v>
      </c>
      <c r="B978" s="3" t="n">
        <v>16.58</v>
      </c>
      <c r="C978" s="3" t="n">
        <v>42.37</v>
      </c>
      <c r="D978" s="3" t="n">
        <v>54.56</v>
      </c>
      <c r="E978" s="3" t="n">
        <v>13.32</v>
      </c>
      <c r="F978" s="3" t="n">
        <v>34.32</v>
      </c>
      <c r="G978" s="3" t="n">
        <v>12.97</v>
      </c>
      <c r="H978" s="3" t="n">
        <v>17.73</v>
      </c>
      <c r="I978" s="3" t="n">
        <v>32.19</v>
      </c>
      <c r="J978" s="3" t="n">
        <v>130.3</v>
      </c>
    </row>
    <row r="979">
      <c r="A979" s="8" t="n">
        <v>45859</v>
      </c>
      <c r="B979" s="3" t="n">
        <v>16.61</v>
      </c>
      <c r="C979" s="3" t="n">
        <v>41.97</v>
      </c>
      <c r="D979" s="3" t="n">
        <v>56.05</v>
      </c>
      <c r="E979" s="3" t="n">
        <v>13.42</v>
      </c>
      <c r="F979" s="3" t="n">
        <v>34.46</v>
      </c>
      <c r="G979" s="3" t="n">
        <v>13.1</v>
      </c>
      <c r="H979" s="3" t="n">
        <v>17.47</v>
      </c>
      <c r="I979" s="3" t="n">
        <v>31.49</v>
      </c>
      <c r="J979" s="3" t="n">
        <v>131.2</v>
      </c>
    </row>
    <row r="980">
      <c r="A980" s="8" t="n">
        <v>45860</v>
      </c>
      <c r="B980" s="3" t="n">
        <v>16.79</v>
      </c>
      <c r="C980" s="3" t="n">
        <v>41.32</v>
      </c>
      <c r="D980" s="3" t="n">
        <v>57.5</v>
      </c>
      <c r="E980" s="3" t="n">
        <v>13.4</v>
      </c>
      <c r="F980" s="3" t="n">
        <v>33.67</v>
      </c>
      <c r="G980" s="3" t="n">
        <v>13.07</v>
      </c>
      <c r="H980" s="3" t="n">
        <v>17.42</v>
      </c>
      <c r="I980" s="3" t="n">
        <v>31.12</v>
      </c>
      <c r="J980" s="3" t="n">
        <v>131.15</v>
      </c>
    </row>
    <row r="981">
      <c r="A981" s="8" t="n">
        <v>45861</v>
      </c>
      <c r="B981" s="3" t="n">
        <v>17.09</v>
      </c>
      <c r="C981" s="3" t="n">
        <v>38.01</v>
      </c>
      <c r="D981" s="3" t="n">
        <v>57.42</v>
      </c>
      <c r="E981" s="3" t="n">
        <v>13.59</v>
      </c>
      <c r="F981" s="3" t="n">
        <v>33.78</v>
      </c>
      <c r="G981" s="3" t="n">
        <v>13.39</v>
      </c>
      <c r="H981" s="3" t="n">
        <v>17.63</v>
      </c>
      <c r="I981" s="3" t="n">
        <v>31.82</v>
      </c>
      <c r="J981" s="3" t="n">
        <v>132.39</v>
      </c>
    </row>
    <row r="982">
      <c r="A982" s="8" t="n">
        <v>45862</v>
      </c>
      <c r="B982" s="3" t="n">
        <v>16.75</v>
      </c>
      <c r="C982" s="3" t="n">
        <v>36.23</v>
      </c>
      <c r="D982" s="3" t="n">
        <v>56.53</v>
      </c>
      <c r="E982" s="3" t="n">
        <v>13.5</v>
      </c>
      <c r="F982" s="3" t="n">
        <v>33.59</v>
      </c>
      <c r="G982" s="3" t="n">
        <v>13.12</v>
      </c>
      <c r="H982" s="3" t="n">
        <v>17.08</v>
      </c>
      <c r="I982" s="3" t="n">
        <v>31.96</v>
      </c>
      <c r="J982" s="3" t="n">
        <v>130.78</v>
      </c>
    </row>
    <row r="983">
      <c r="A983" s="8" t="n">
        <v>45863</v>
      </c>
      <c r="B983" s="3" t="n">
        <v>16.68</v>
      </c>
      <c r="C983" s="3" t="n">
        <v>36.17</v>
      </c>
      <c r="D983" s="3" t="n">
        <v>55.7</v>
      </c>
      <c r="E983" s="3" t="n">
        <v>13.47</v>
      </c>
      <c r="F983" s="3" t="n">
        <v>33.53</v>
      </c>
      <c r="G983" s="3" t="n">
        <v>13.07</v>
      </c>
      <c r="H983" s="3" t="n">
        <v>16.72</v>
      </c>
      <c r="I983" s="3" t="n">
        <v>32.58</v>
      </c>
      <c r="J983" s="3" t="n">
        <v>130.45</v>
      </c>
    </row>
    <row r="984">
      <c r="A984" s="8" t="n">
        <v>45866</v>
      </c>
      <c r="B984" s="3" t="n">
        <v>16.85</v>
      </c>
      <c r="C984" s="3" t="n">
        <v>36.73</v>
      </c>
      <c r="D984" s="3" t="n">
        <v>55.16</v>
      </c>
      <c r="E984" s="3" t="n">
        <v>13.06</v>
      </c>
      <c r="F984" s="3" t="n">
        <v>33.55</v>
      </c>
      <c r="G984" s="3" t="n">
        <v>12.7</v>
      </c>
      <c r="H984" s="3" t="n">
        <v>16.37</v>
      </c>
      <c r="I984" s="3" t="n">
        <v>31.99</v>
      </c>
      <c r="J984" s="3" t="n">
        <v>129.25</v>
      </c>
    </row>
    <row r="985">
      <c r="A985" s="8" t="n">
        <v>45867</v>
      </c>
      <c r="B985" s="3" t="n">
        <v>16.85</v>
      </c>
      <c r="C985" s="3" t="n">
        <v>36.58</v>
      </c>
      <c r="D985" s="3" t="n">
        <v>54.82</v>
      </c>
      <c r="E985" s="3" t="n">
        <v>13.19</v>
      </c>
      <c r="F985" s="3" t="n">
        <v>33.71</v>
      </c>
      <c r="G985" s="3" t="n">
        <v>12.71</v>
      </c>
      <c r="H985" s="3" t="n">
        <v>16.35</v>
      </c>
      <c r="I985" s="3" t="n">
        <v>32.46</v>
      </c>
      <c r="J985" s="3" t="n">
        <v>129.5</v>
      </c>
    </row>
    <row r="986">
      <c r="A986" s="8" t="n">
        <v>45868</v>
      </c>
      <c r="B986" s="3" t="n">
        <v>16.61</v>
      </c>
      <c r="C986" s="3" t="n">
        <v>36.85</v>
      </c>
      <c r="D986" s="3" t="n">
        <v>53.84</v>
      </c>
      <c r="E986" s="3" t="n">
        <v>13.15</v>
      </c>
      <c r="F986" s="3" t="n">
        <v>33.63</v>
      </c>
      <c r="G986" s="3" t="n">
        <v>12.75</v>
      </c>
      <c r="H986" s="3" t="n">
        <v>16.76</v>
      </c>
      <c r="I986" s="3" t="n">
        <v>33.49</v>
      </c>
      <c r="J986" s="3" t="n">
        <v>130.93</v>
      </c>
    </row>
    <row r="987">
      <c r="A987" s="8" t="n">
        <v>45869</v>
      </c>
      <c r="B987" s="3" t="n">
        <v>16.54</v>
      </c>
      <c r="C987" s="3" t="n">
        <v>37.11</v>
      </c>
      <c r="D987" s="3" t="n">
        <v>53.46</v>
      </c>
      <c r="E987" s="3" t="n">
        <v>12.46</v>
      </c>
      <c r="F987" s="3" t="n">
        <v>33.7</v>
      </c>
      <c r="G987" s="3" t="n">
        <v>12.58</v>
      </c>
      <c r="H987" s="3" t="n">
        <v>16.27</v>
      </c>
      <c r="I987" s="3" t="n">
        <v>33.07</v>
      </c>
      <c r="J987" s="3" t="n">
        <v>129.88</v>
      </c>
    </row>
    <row r="988">
      <c r="A988" s="8" t="n">
        <v>45870</v>
      </c>
      <c r="B988" s="3" t="n">
        <v>16.33</v>
      </c>
      <c r="C988" s="3" t="n">
        <v>37.18</v>
      </c>
      <c r="D988" s="3" t="n">
        <v>53.75</v>
      </c>
      <c r="E988" s="3" t="n">
        <v>12.29</v>
      </c>
      <c r="F988" s="3" t="n">
        <v>33.44</v>
      </c>
      <c r="G988" s="3" t="n">
        <v>12.59</v>
      </c>
      <c r="H988" s="3" t="n">
        <v>16.49</v>
      </c>
      <c r="I988" s="3" t="n">
        <v>32.66</v>
      </c>
      <c r="J988" s="3" t="n">
        <v>129.57</v>
      </c>
    </row>
    <row r="989">
      <c r="A989" s="8" t="n">
        <v>45873</v>
      </c>
      <c r="B989" s="3" t="n">
        <v>16.44</v>
      </c>
      <c r="C989" s="3" t="n">
        <v>37.07</v>
      </c>
      <c r="D989" s="3" t="n">
        <v>54.18</v>
      </c>
      <c r="E989" s="3" t="n">
        <v>12.41</v>
      </c>
      <c r="F989" s="3" t="n">
        <v>33.55</v>
      </c>
      <c r="G989" s="3" t="n">
        <v>12.68</v>
      </c>
      <c r="H989" s="3" t="n">
        <v>16.87</v>
      </c>
      <c r="I989" s="3" t="n">
        <v>33.95</v>
      </c>
      <c r="J989" s="3" t="n">
        <v>130</v>
      </c>
    </row>
    <row r="990">
      <c r="A990" s="8" t="n">
        <v>45874</v>
      </c>
      <c r="B990" s="3" t="n">
        <v>16.54</v>
      </c>
      <c r="C990" s="3" t="n">
        <v>37.13</v>
      </c>
      <c r="D990" s="3" t="n">
        <v>54.11</v>
      </c>
      <c r="E990" s="3" t="n">
        <v>12.36</v>
      </c>
      <c r="F990" s="3" t="n">
        <v>33.93</v>
      </c>
      <c r="G990" s="3" t="n">
        <v>12.58</v>
      </c>
      <c r="H990" s="3" t="n">
        <v>16.89</v>
      </c>
      <c r="I990" s="3" t="n">
        <v>35.53</v>
      </c>
      <c r="J990" s="3" t="n">
        <v>130.16</v>
      </c>
    </row>
    <row r="991">
      <c r="A991" s="8" t="n">
        <v>45875</v>
      </c>
      <c r="B991" s="3" t="n">
        <v>16.7</v>
      </c>
      <c r="C991" s="3" t="n">
        <v>38.16</v>
      </c>
      <c r="D991" s="3" t="n">
        <v>53.77</v>
      </c>
      <c r="E991" s="3" t="n">
        <v>12.48</v>
      </c>
      <c r="F991" s="3" t="n">
        <v>34.38</v>
      </c>
      <c r="G991" s="3" t="n">
        <v>12.72</v>
      </c>
      <c r="H991" s="3" t="n">
        <v>17.77</v>
      </c>
      <c r="I991" s="3" t="n">
        <v>35.87</v>
      </c>
      <c r="J991" s="3" t="n">
        <v>131.49</v>
      </c>
    </row>
    <row r="992">
      <c r="A992" s="8" t="n">
        <v>45876</v>
      </c>
      <c r="B992" s="3" t="n">
        <v>16.95</v>
      </c>
      <c r="C992" s="3" t="n">
        <v>39</v>
      </c>
      <c r="D992" s="3" t="n">
        <v>54.11</v>
      </c>
      <c r="E992" s="3" t="n">
        <v>12.54</v>
      </c>
      <c r="F992" s="3" t="n">
        <v>34.46</v>
      </c>
      <c r="G992" s="3" t="n">
        <v>12.91</v>
      </c>
      <c r="H992" s="3" t="n">
        <v>18.04</v>
      </c>
      <c r="I992" s="3" t="n">
        <v>36.17</v>
      </c>
      <c r="J992" s="3" t="n">
        <v>133.52</v>
      </c>
    </row>
    <row r="993">
      <c r="A993" s="8" t="n">
        <v>45877</v>
      </c>
      <c r="B993" s="3" t="n">
        <v>15.34</v>
      </c>
      <c r="C993" s="3" t="n">
        <v>38.1</v>
      </c>
      <c r="D993" s="3" t="n">
        <v>55.39</v>
      </c>
      <c r="E993" s="3" t="n">
        <v>12.37</v>
      </c>
      <c r="F993" s="3" t="n">
        <v>34.47</v>
      </c>
      <c r="G993" s="3" t="n">
        <v>12.88</v>
      </c>
      <c r="H993" s="3" t="n">
        <v>16.73</v>
      </c>
      <c r="I993" s="3" t="n">
        <v>35.63</v>
      </c>
      <c r="J993" s="3" t="n">
        <v>132.91</v>
      </c>
    </row>
    <row r="994">
      <c r="A994" s="8" t="n">
        <v>45880</v>
      </c>
      <c r="B994" s="3" t="n">
        <v>15.45</v>
      </c>
      <c r="C994" s="3" t="n">
        <v>37.22</v>
      </c>
      <c r="D994" s="3" t="n">
        <v>55.33</v>
      </c>
      <c r="E994" s="3" t="n">
        <v>12.31</v>
      </c>
      <c r="F994" s="3" t="n">
        <v>34.83</v>
      </c>
      <c r="G994" s="3" t="n">
        <v>12.76</v>
      </c>
      <c r="H994" s="3" t="n">
        <v>16.42</v>
      </c>
      <c r="I994" s="3" t="n">
        <v>35.14</v>
      </c>
      <c r="J994" s="3" t="n">
        <v>132.5</v>
      </c>
    </row>
    <row r="995">
      <c r="A995" s="8" t="n">
        <v>45881</v>
      </c>
      <c r="B995" s="3" t="n">
        <v>15.9</v>
      </c>
      <c r="C995" s="3" t="n">
        <v>36.61</v>
      </c>
      <c r="D995" s="3" t="n">
        <v>55.91</v>
      </c>
      <c r="E995" s="3" t="n">
        <v>12.23</v>
      </c>
      <c r="F995" s="3" t="n">
        <v>35.23</v>
      </c>
      <c r="G995" s="3" t="n">
        <v>12.65</v>
      </c>
      <c r="H995" s="3" t="n">
        <v>16.72</v>
      </c>
      <c r="I995" s="3" t="n">
        <v>35.6</v>
      </c>
      <c r="J995" s="3" t="n">
        <v>135.1</v>
      </c>
    </row>
    <row r="996">
      <c r="A996" s="8" t="n">
        <v>45882</v>
      </c>
      <c r="B996" s="3" t="n">
        <v>15.92</v>
      </c>
      <c r="C996" s="3" t="n">
        <v>36.62</v>
      </c>
      <c r="D996" s="3" t="n">
        <v>54.09</v>
      </c>
      <c r="E996" s="3" t="n">
        <v>12.12</v>
      </c>
      <c r="F996" s="3" t="n">
        <v>34.99</v>
      </c>
      <c r="G996" s="3" t="n">
        <v>12.7</v>
      </c>
      <c r="H996" s="3" t="n">
        <v>16.09</v>
      </c>
      <c r="I996" s="3" t="n">
        <v>34.88</v>
      </c>
      <c r="J996" s="3" t="n">
        <v>133.66</v>
      </c>
    </row>
    <row r="997">
      <c r="A997" s="8" t="n">
        <v>45883</v>
      </c>
      <c r="B997" s="3" t="n">
        <v>16.04</v>
      </c>
      <c r="C997" s="3" t="n">
        <v>36.49</v>
      </c>
      <c r="D997" s="3" t="n">
        <v>53.42</v>
      </c>
      <c r="E997" s="3" t="n">
        <v>12.02</v>
      </c>
      <c r="F997" s="3" t="n">
        <v>35.32</v>
      </c>
      <c r="G997" s="3" t="n">
        <v>12.85</v>
      </c>
      <c r="H997" s="3" t="n">
        <v>16.02</v>
      </c>
      <c r="I997" s="3" t="n">
        <v>37.77</v>
      </c>
      <c r="J997" s="3" t="n">
        <v>133.36</v>
      </c>
    </row>
    <row r="998">
      <c r="A998" s="8" t="n">
        <v>45884</v>
      </c>
      <c r="B998" s="3" t="n">
        <v>15.96</v>
      </c>
      <c r="C998" s="3" t="n">
        <v>35.97</v>
      </c>
      <c r="D998" s="3" t="n">
        <v>53.32</v>
      </c>
      <c r="E998" s="3" t="n">
        <v>12.04</v>
      </c>
      <c r="F998" s="3" t="n">
        <v>32.79</v>
      </c>
      <c r="G998" s="3" t="n">
        <v>13.15</v>
      </c>
      <c r="H998" s="3" t="n">
        <v>16.13</v>
      </c>
      <c r="I998" s="3" t="n">
        <v>38.2</v>
      </c>
      <c r="J998" s="3" t="n">
        <v>133.56</v>
      </c>
    </row>
    <row r="999">
      <c r="A999" s="8" t="n">
        <v>45887</v>
      </c>
      <c r="B999" s="3" t="n">
        <v>15.86</v>
      </c>
      <c r="C999" s="3" t="n">
        <v>36.41</v>
      </c>
      <c r="D999" s="3" t="n">
        <v>53.2</v>
      </c>
      <c r="E999" s="3" t="n">
        <v>12.07</v>
      </c>
      <c r="F999" s="3" t="n">
        <v>32.86</v>
      </c>
      <c r="G999" s="3" t="n">
        <v>13.16</v>
      </c>
      <c r="H999" s="3" t="n">
        <v>16.21</v>
      </c>
      <c r="I999" s="3" t="n">
        <v>39.37</v>
      </c>
      <c r="J999" s="3" t="n">
        <v>134.33</v>
      </c>
    </row>
    <row r="1000">
      <c r="A1000" s="8" t="n">
        <v>45888</v>
      </c>
      <c r="B1000" s="3" t="n">
        <v>15.43</v>
      </c>
      <c r="C1000" s="3" t="n">
        <v>35.6</v>
      </c>
      <c r="D1000" s="3" t="n">
        <v>53.24</v>
      </c>
      <c r="E1000" s="3" t="n">
        <v>12.07</v>
      </c>
      <c r="F1000" s="3" t="n">
        <v>32.22</v>
      </c>
      <c r="G1000" s="3" t="n">
        <v>12.53</v>
      </c>
      <c r="H1000" s="3" t="n">
        <v>15.87</v>
      </c>
      <c r="I1000" s="3" t="n">
        <v>37.82</v>
      </c>
      <c r="J1000" s="3" t="n">
        <v>131.17</v>
      </c>
    </row>
    <row r="1001">
      <c r="A1001" s="8" t="n">
        <v>45889</v>
      </c>
      <c r="B1001" s="3" t="n">
        <v>14.95</v>
      </c>
      <c r="C1001" s="3" t="n">
        <v>36.07</v>
      </c>
      <c r="D1001" s="3" t="n">
        <v>53</v>
      </c>
      <c r="E1001" s="3" t="n">
        <v>12.1</v>
      </c>
      <c r="F1001" s="3" t="n">
        <v>31.92</v>
      </c>
      <c r="G1001" s="3" t="n">
        <v>12.33</v>
      </c>
      <c r="H1001" s="3" t="n">
        <v>15.71</v>
      </c>
      <c r="I1001" s="3" t="n">
        <v>37.54</v>
      </c>
      <c r="J1001" s="3" t="n">
        <v>131.8</v>
      </c>
    </row>
    <row r="1002">
      <c r="A1002" s="8" t="n">
        <v>45890</v>
      </c>
      <c r="B1002" s="3" t="n">
        <v>14.68</v>
      </c>
      <c r="C1002" s="3" t="n">
        <v>35.91</v>
      </c>
      <c r="D1002" s="3" t="n">
        <v>53.45</v>
      </c>
      <c r="E1002" s="3" t="n">
        <v>12.06</v>
      </c>
      <c r="F1002" s="3" t="n">
        <v>31.63</v>
      </c>
      <c r="G1002" s="3" t="n">
        <v>12.25</v>
      </c>
      <c r="H1002" s="3" t="n">
        <v>15.44</v>
      </c>
      <c r="I1002" s="3" t="n">
        <v>36.85</v>
      </c>
      <c r="J1002" s="3" t="n">
        <v>131.63</v>
      </c>
    </row>
    <row r="1003">
      <c r="A1003" s="8" t="n">
        <v>45891</v>
      </c>
      <c r="B1003" s="3" t="n">
        <v>15.07</v>
      </c>
      <c r="C1003" s="3" t="n">
        <v>37.5</v>
      </c>
      <c r="D1003" s="3" t="n">
        <v>54.79</v>
      </c>
      <c r="E1003" s="3" t="n">
        <v>12.21</v>
      </c>
      <c r="F1003" s="3" t="n">
        <v>31.8</v>
      </c>
      <c r="G1003" s="3" t="n">
        <v>12.56</v>
      </c>
      <c r="H1003" s="3" t="n">
        <v>15.91</v>
      </c>
      <c r="I1003" s="3" t="n">
        <v>38.31</v>
      </c>
      <c r="J1003" s="3" t="n">
        <v>135.15</v>
      </c>
    </row>
    <row r="1004">
      <c r="A1004" s="8" t="n">
        <v>45894</v>
      </c>
      <c r="B1004" s="3" t="n">
        <v>14.61</v>
      </c>
      <c r="C1004" s="3" t="n">
        <v>37.73</v>
      </c>
      <c r="D1004" s="3" t="n">
        <v>54.92</v>
      </c>
      <c r="E1004" s="3" t="n">
        <v>12.12</v>
      </c>
      <c r="F1004" s="3" t="n">
        <v>32.17</v>
      </c>
      <c r="G1004" s="3" t="n">
        <v>12.55</v>
      </c>
      <c r="H1004" s="3" t="n">
        <v>15.85</v>
      </c>
      <c r="I1004" s="3" t="n">
        <v>39.1</v>
      </c>
      <c r="J1004" s="3" t="n">
        <v>135.11</v>
      </c>
    </row>
    <row r="1005">
      <c r="A1005" s="8" t="n">
        <v>45895</v>
      </c>
      <c r="B1005" s="3" t="n">
        <v>14.6</v>
      </c>
      <c r="C1005" s="3" t="n">
        <v>37.59</v>
      </c>
      <c r="D1005" s="3" t="n">
        <v>55.41</v>
      </c>
      <c r="E1005" s="3" t="n">
        <v>12.18</v>
      </c>
      <c r="F1005" s="3" t="n">
        <v>32.26</v>
      </c>
      <c r="G1005" s="3" t="n">
        <v>12.44</v>
      </c>
      <c r="H1005" s="3" t="n">
        <v>15.65</v>
      </c>
      <c r="I1005" s="3" t="n">
        <v>38.94</v>
      </c>
      <c r="J1005" s="3" t="n">
        <v>134.94</v>
      </c>
    </row>
    <row r="1006">
      <c r="A1006" s="8" t="n">
        <v>45896</v>
      </c>
      <c r="B1006" s="3" t="n">
        <v>14.58</v>
      </c>
      <c r="C1006" s="3" t="n">
        <v>37.74</v>
      </c>
      <c r="D1006" s="3" t="n">
        <v>55.38</v>
      </c>
      <c r="E1006" s="3" t="n">
        <v>12.15</v>
      </c>
      <c r="F1006" s="3" t="n">
        <v>32.5</v>
      </c>
      <c r="G1006" s="3" t="n">
        <v>12.67</v>
      </c>
      <c r="H1006" s="3" t="n">
        <v>15.99</v>
      </c>
      <c r="I1006" s="3" t="n">
        <v>39.8</v>
      </c>
      <c r="J1006" s="3" t="n">
        <v>136.2</v>
      </c>
    </row>
    <row r="1007">
      <c r="A1007" s="8" t="n">
        <v>45897</v>
      </c>
      <c r="B1007" s="3" t="n">
        <v>14.62</v>
      </c>
      <c r="C1007" s="3" t="n">
        <v>37.82</v>
      </c>
      <c r="D1007" s="3" t="n">
        <v>55.4</v>
      </c>
      <c r="E1007" s="3" t="n">
        <v>12.25</v>
      </c>
      <c r="F1007" s="3" t="n">
        <v>32.54</v>
      </c>
      <c r="G1007" s="3" t="n">
        <v>13.03</v>
      </c>
      <c r="H1007" s="3" t="n">
        <v>16.18</v>
      </c>
      <c r="I1007" s="3" t="n">
        <v>40.9</v>
      </c>
      <c r="J1007" s="3" t="n">
        <v>138.31</v>
      </c>
    </row>
    <row r="1008">
      <c r="A1008" s="8" t="n">
        <v>45898</v>
      </c>
      <c r="B1008" s="3" t="n">
        <v>14.55</v>
      </c>
      <c r="C1008" s="3" t="n">
        <v>37.66</v>
      </c>
      <c r="D1008" s="3" t="n">
        <v>55.56</v>
      </c>
      <c r="E1008" s="3" t="n">
        <v>12.35</v>
      </c>
      <c r="F1008" s="3" t="n">
        <v>32.82</v>
      </c>
      <c r="G1008" s="3" t="n">
        <v>12.98</v>
      </c>
      <c r="H1008" s="3" t="n">
        <v>16.26</v>
      </c>
      <c r="I1008" s="3" t="n">
        <v>41.71</v>
      </c>
      <c r="J1008" s="3" t="n">
        <v>138.5</v>
      </c>
    </row>
    <row r="1009">
      <c r="A1009" s="8" t="n">
        <v>45901</v>
      </c>
      <c r="B1009" s="3" t="n">
        <v>14.32</v>
      </c>
      <c r="C1009" s="3" t="n">
        <v>37.81</v>
      </c>
      <c r="D1009" s="3" t="n">
        <v>55.6</v>
      </c>
      <c r="E1009" s="3" t="n">
        <v>12.3</v>
      </c>
      <c r="F1009" s="3" t="n">
        <v>32.69</v>
      </c>
      <c r="G1009" s="3" t="n">
        <v>12.98</v>
      </c>
      <c r="H1009" s="3" t="n">
        <v>16.24</v>
      </c>
      <c r="I1009" s="3" t="n">
        <v>41.55</v>
      </c>
      <c r="J1009" s="3" t="n">
        <v>138.29</v>
      </c>
    </row>
    <row r="1010">
      <c r="A1010" s="8" t="n">
        <v>45902</v>
      </c>
      <c r="B1010" s="3" t="n">
        <v>14.11</v>
      </c>
      <c r="C1010" s="3" t="n">
        <v>37.68</v>
      </c>
      <c r="D1010" s="3" t="n">
        <v>55.39</v>
      </c>
      <c r="E1010" s="3" t="n">
        <v>12.16</v>
      </c>
      <c r="F1010" s="3" t="n">
        <v>32.16</v>
      </c>
      <c r="G1010" s="3" t="n">
        <v>12.75</v>
      </c>
      <c r="H1010" s="3" t="n">
        <v>16.09</v>
      </c>
      <c r="I1010" s="3" t="n">
        <v>41.36</v>
      </c>
      <c r="J1010" s="3" t="n">
        <v>137.37</v>
      </c>
    </row>
    <row r="1011">
      <c r="A1011" s="8" t="n">
        <v>45903</v>
      </c>
      <c r="B1011" s="3" t="n">
        <v>14.21</v>
      </c>
      <c r="C1011" s="3" t="n">
        <v>37.85</v>
      </c>
      <c r="D1011" s="3" t="n">
        <v>55.6</v>
      </c>
      <c r="E1011" s="3" t="n">
        <v>11.9</v>
      </c>
      <c r="F1011" s="3" t="n">
        <v>32.05</v>
      </c>
      <c r="G1011" s="3" t="n">
        <v>12.95</v>
      </c>
      <c r="H1011" s="3" t="n">
        <v>16.03</v>
      </c>
      <c r="I1011" s="3" t="n">
        <v>40.85</v>
      </c>
      <c r="J1011" s="3" t="n">
        <v>136.87</v>
      </c>
    </row>
    <row r="1012">
      <c r="A1012" s="8" t="n">
        <v>45904</v>
      </c>
      <c r="B1012" s="3" t="n">
        <v>14.8</v>
      </c>
      <c r="C1012" s="3" t="n">
        <v>37.25</v>
      </c>
      <c r="D1012" s="3" t="n">
        <v>55.71</v>
      </c>
      <c r="E1012" s="3" t="n">
        <v>12.16</v>
      </c>
      <c r="F1012" s="3" t="n">
        <v>32.21</v>
      </c>
      <c r="G1012" s="3" t="n">
        <v>13.09</v>
      </c>
      <c r="H1012" s="3" t="n">
        <v>16.11</v>
      </c>
      <c r="I1012" s="3" t="n">
        <v>41.29</v>
      </c>
      <c r="J1012" s="3" t="n">
        <v>138.01</v>
      </c>
    </row>
    <row r="1013">
      <c r="A1013" s="8" t="n">
        <v>45905</v>
      </c>
      <c r="B1013" s="3" t="n">
        <v>14.7</v>
      </c>
      <c r="C1013" s="3" t="n">
        <v>37.85</v>
      </c>
      <c r="D1013" s="3" t="n">
        <v>56.22</v>
      </c>
      <c r="E1013" s="3" t="n">
        <v>12.25</v>
      </c>
      <c r="F1013" s="3" t="n">
        <v>32.24</v>
      </c>
      <c r="G1013" s="3" t="n">
        <v>13.38</v>
      </c>
      <c r="H1013" s="3" t="n">
        <v>16.35</v>
      </c>
      <c r="I1013" s="3" t="n">
        <v>41.38</v>
      </c>
      <c r="J1013" s="3" t="n">
        <v>139.65</v>
      </c>
    </row>
    <row r="1014">
      <c r="A1014" s="8" t="n">
        <v>45908</v>
      </c>
      <c r="B1014" s="3" t="n">
        <v>14.64</v>
      </c>
      <c r="C1014" s="3" t="n">
        <v>37.44</v>
      </c>
      <c r="D1014" s="3" t="n">
        <v>56.36</v>
      </c>
      <c r="E1014" s="3" t="n">
        <v>12.14</v>
      </c>
      <c r="F1014" s="3" t="n">
        <v>32.25</v>
      </c>
      <c r="G1014" s="3" t="n">
        <v>13.14</v>
      </c>
      <c r="H1014" s="3" t="n">
        <v>15.87</v>
      </c>
      <c r="I1014" s="3" t="n">
        <v>40.45</v>
      </c>
      <c r="J1014" s="3" t="n">
        <v>138.8</v>
      </c>
    </row>
    <row r="1015">
      <c r="A1015" s="8" t="n">
        <v>45909</v>
      </c>
      <c r="B1015" s="3" t="n">
        <v>14.53</v>
      </c>
      <c r="C1015" s="3" t="n">
        <v>36.98</v>
      </c>
      <c r="D1015" s="3" t="n">
        <v>56.19</v>
      </c>
      <c r="E1015" s="3" t="n">
        <v>12.33</v>
      </c>
      <c r="F1015" s="3" t="n">
        <v>32.47</v>
      </c>
      <c r="G1015" s="3" t="n">
        <v>13.01</v>
      </c>
      <c r="H1015" s="3" t="n">
        <v>15.59</v>
      </c>
      <c r="I1015" s="3" t="n">
        <v>39.64</v>
      </c>
      <c r="J1015" s="3" t="n">
        <v>138.6</v>
      </c>
    </row>
    <row r="1016">
      <c r="A1016" s="8" t="n">
        <v>45910</v>
      </c>
      <c r="B1016" s="3" t="n">
        <v>14.61</v>
      </c>
      <c r="C1016" s="3" t="n">
        <v>37.28</v>
      </c>
      <c r="D1016" s="3" t="n">
        <v>56.58</v>
      </c>
      <c r="E1016" s="3" t="n">
        <v>12.36</v>
      </c>
      <c r="F1016" s="3" t="n">
        <v>32.44</v>
      </c>
      <c r="G1016" s="3" t="n">
        <v>12.97</v>
      </c>
      <c r="H1016" s="3" t="n">
        <v>15.96</v>
      </c>
      <c r="I1016" s="3" t="n">
        <v>40</v>
      </c>
      <c r="J1016" s="3" t="n">
        <v>139.16</v>
      </c>
    </row>
    <row r="1017">
      <c r="A1017" s="8" t="n">
        <v>45911</v>
      </c>
      <c r="B1017" s="3" t="n">
        <v>15</v>
      </c>
      <c r="C1017" s="3" t="n">
        <v>36.83</v>
      </c>
      <c r="D1017" s="3" t="n">
        <v>57.02</v>
      </c>
      <c r="E1017" s="3" t="n">
        <v>12.52</v>
      </c>
      <c r="F1017" s="3" t="n">
        <v>32.39</v>
      </c>
      <c r="G1017" s="3" t="n">
        <v>13.12</v>
      </c>
      <c r="H1017" s="3" t="n">
        <v>16.18</v>
      </c>
      <c r="I1017" s="3" t="n">
        <v>39.74</v>
      </c>
      <c r="J1017" s="3" t="n">
        <v>139.96</v>
      </c>
    </row>
    <row r="1018">
      <c r="A1018" s="8" t="n">
        <v>45912</v>
      </c>
      <c r="B1018" s="3" t="n">
        <v>14.81</v>
      </c>
      <c r="C1018" s="3" t="n">
        <v>36.95</v>
      </c>
      <c r="D1018" s="3" t="n">
        <v>57</v>
      </c>
      <c r="E1018" s="3" t="n">
        <v>12.58</v>
      </c>
      <c r="F1018" s="3" t="n">
        <v>32.11</v>
      </c>
      <c r="G1018" s="3" t="n">
        <v>12.95</v>
      </c>
      <c r="H1018" s="3" t="n">
        <v>15.85</v>
      </c>
      <c r="I1018" s="3" t="n">
        <v>39.33</v>
      </c>
      <c r="J1018" s="3" t="n">
        <v>139.21</v>
      </c>
    </row>
    <row r="1019">
      <c r="A1019" s="8" t="n">
        <v>45915</v>
      </c>
      <c r="B1019" s="3" t="n">
        <v>14.86</v>
      </c>
      <c r="C1019" s="3" t="n">
        <v>36.51</v>
      </c>
      <c r="D1019" s="3" t="n">
        <v>57.5</v>
      </c>
      <c r="E1019" s="3" t="n">
        <v>12.63</v>
      </c>
      <c r="F1019" s="3" t="n">
        <v>32.15</v>
      </c>
      <c r="G1019" s="3" t="n">
        <v>13.37</v>
      </c>
      <c r="H1019" s="3" t="n">
        <v>16.22</v>
      </c>
      <c r="I1019" s="3" t="n">
        <v>39.33</v>
      </c>
      <c r="J1019" s="3" t="n">
        <v>140.45</v>
      </c>
    </row>
    <row r="1020">
      <c r="A1020" s="8" t="n">
        <v>45916</v>
      </c>
      <c r="B1020" s="3" t="n">
        <v>14.88</v>
      </c>
      <c r="C1020" s="3" t="n">
        <v>36.77</v>
      </c>
      <c r="D1020" s="3" t="n">
        <v>57.7</v>
      </c>
      <c r="E1020" s="3" t="n">
        <v>12.71</v>
      </c>
      <c r="F1020" s="3" t="n">
        <v>32.32</v>
      </c>
      <c r="G1020" s="3" t="n">
        <v>13.48</v>
      </c>
      <c r="H1020" s="3" t="n">
        <v>16.9</v>
      </c>
      <c r="I1020" s="3" t="n">
        <v>38.14</v>
      </c>
      <c r="J1020" s="3" t="n">
        <v>141.11</v>
      </c>
    </row>
    <row r="1021">
      <c r="A1021" s="8" t="n">
        <v>45917</v>
      </c>
      <c r="B1021" s="3" t="n">
        <v>15.28</v>
      </c>
      <c r="C1021" s="3" t="n">
        <v>36.71</v>
      </c>
      <c r="D1021" s="3" t="n">
        <v>57.8</v>
      </c>
      <c r="E1021" s="3" t="n">
        <v>12.79</v>
      </c>
      <c r="F1021" s="3" t="n">
        <v>32.53</v>
      </c>
      <c r="G1021" s="3" t="n">
        <v>13.72</v>
      </c>
      <c r="H1021" s="3" t="n">
        <v>17.02</v>
      </c>
      <c r="I1021" s="3" t="n">
        <v>38.64</v>
      </c>
      <c r="J1021" s="3" t="n">
        <v>142.6</v>
      </c>
    </row>
    <row r="1022">
      <c r="A1022" s="8" t="n">
        <v>45918</v>
      </c>
      <c r="B1022" s="3" t="n">
        <v>15.03</v>
      </c>
      <c r="C1022" s="3" t="n">
        <v>36.73</v>
      </c>
      <c r="D1022" s="3" t="n">
        <v>57.69</v>
      </c>
      <c r="E1022" s="3" t="n">
        <v>12.52</v>
      </c>
      <c r="F1022" s="3" t="n">
        <v>32.78</v>
      </c>
      <c r="G1022" s="3" t="n">
        <v>13.73</v>
      </c>
      <c r="H1022" s="3" t="n">
        <v>17.05</v>
      </c>
      <c r="I1022" s="3" t="n">
        <v>38.8</v>
      </c>
      <c r="J1022" s="3" t="n">
        <v>142.53</v>
      </c>
    </row>
    <row r="1023">
      <c r="A1023" s="8" t="n">
        <v>45919</v>
      </c>
      <c r="B1023" s="3" t="n">
        <v>14.61</v>
      </c>
      <c r="C1023" s="3" t="n">
        <v>36.35</v>
      </c>
      <c r="D1023" s="3" t="n">
        <v>57.92</v>
      </c>
      <c r="E1023" s="3" t="n">
        <v>12.55</v>
      </c>
      <c r="F1023" s="3" t="n">
        <v>32.92</v>
      </c>
      <c r="G1023" s="3" t="n">
        <v>13.66</v>
      </c>
      <c r="H1023" s="3" t="n">
        <v>16.92</v>
      </c>
      <c r="I1023" s="3" t="n">
        <v>38.18</v>
      </c>
      <c r="J1023" s="3" t="n">
        <v>142.79</v>
      </c>
    </row>
    <row r="1024">
      <c r="A1024" s="8" t="n">
        <v>45922</v>
      </c>
      <c r="B1024" s="3" t="n">
        <v>14.91</v>
      </c>
      <c r="C1024" s="3" t="n">
        <v>37.11</v>
      </c>
      <c r="D1024" s="3" t="n">
        <v>58</v>
      </c>
      <c r="E1024" s="3" t="n">
        <v>12.36</v>
      </c>
      <c r="F1024" s="3" t="n">
        <v>33.24</v>
      </c>
      <c r="G1024" s="3" t="n">
        <v>13.5</v>
      </c>
      <c r="H1024" s="3" t="n">
        <v>16.27</v>
      </c>
      <c r="I1024" s="3" t="n">
        <v>37.56</v>
      </c>
      <c r="J1024" s="3" t="n">
        <v>141.99</v>
      </c>
    </row>
    <row r="1025">
      <c r="A1025" s="8" t="n">
        <v>45923</v>
      </c>
      <c r="B1025" s="3" t="n">
        <v>15.15</v>
      </c>
      <c r="C1025" s="3" t="n">
        <v>36.7</v>
      </c>
      <c r="D1025" s="3" t="n">
        <v>57.67</v>
      </c>
      <c r="E1025" s="3" t="n">
        <v>12.46</v>
      </c>
      <c r="F1025" s="3" t="n">
        <v>33.3</v>
      </c>
      <c r="G1025" s="3" t="n">
        <v>13.34</v>
      </c>
      <c r="H1025" s="3" t="n">
        <v>15.92</v>
      </c>
      <c r="I1025" s="3" t="n">
        <v>38.05</v>
      </c>
      <c r="J1025" s="3" t="n">
        <v>143.33</v>
      </c>
    </row>
    <row r="1026">
      <c r="A1026" s="8" t="n">
        <v>45924</v>
      </c>
      <c r="B1026" s="3" t="n">
        <v>15.28</v>
      </c>
      <c r="C1026" s="3" t="n">
        <v>36.89</v>
      </c>
      <c r="D1026" s="3" t="n">
        <v>57.89</v>
      </c>
      <c r="E1026" s="3" t="n">
        <v>12.38</v>
      </c>
      <c r="F1026" s="3" t="n">
        <v>32.94</v>
      </c>
      <c r="G1026" s="3" t="n">
        <v>13.17</v>
      </c>
      <c r="H1026" s="3" t="n">
        <v>15.94</v>
      </c>
      <c r="I1026" s="3" t="n">
        <v>37.3</v>
      </c>
      <c r="J1026" s="3" t="n">
        <v>143.42</v>
      </c>
    </row>
    <row r="1027">
      <c r="A1027" s="8" t="n">
        <v>45925</v>
      </c>
      <c r="B1027" s="3" t="n">
        <v>15.13</v>
      </c>
      <c r="C1027" s="3" t="n">
        <v>36.35</v>
      </c>
      <c r="D1027" s="3" t="n">
        <v>58.21</v>
      </c>
      <c r="E1027" s="3" t="n">
        <v>12.46</v>
      </c>
      <c r="F1027" s="3" t="n">
        <v>32.58</v>
      </c>
      <c r="G1027" s="3" t="n">
        <v>12.95</v>
      </c>
      <c r="H1027" s="3" t="n">
        <v>15.72</v>
      </c>
      <c r="I1027" s="3" t="n">
        <v>37.01</v>
      </c>
      <c r="J1027" s="3" t="n">
        <v>142.28</v>
      </c>
    </row>
    <row r="1028">
      <c r="A1028" s="8" t="n">
        <v>45926</v>
      </c>
      <c r="B1028" s="3" t="n">
        <v>15.23</v>
      </c>
      <c r="C1028" s="3" t="n">
        <v>36.32</v>
      </c>
      <c r="D1028" s="3" t="n">
        <v>57.09</v>
      </c>
      <c r="E1028" s="3" t="n">
        <v>12.46</v>
      </c>
      <c r="F1028" s="3" t="n">
        <v>32.45</v>
      </c>
      <c r="G1028" s="3" t="n">
        <v>13.22</v>
      </c>
      <c r="H1028" s="3" t="n">
        <v>15.82</v>
      </c>
      <c r="I1028" s="3" t="n">
        <v>36.59</v>
      </c>
      <c r="J1028" s="3" t="n">
        <v>142.44</v>
      </c>
    </row>
    <row r="1029">
      <c r="A1029" s="8" t="n">
        <v>45929</v>
      </c>
      <c r="B1029" s="3" t="n">
        <v>15.65</v>
      </c>
      <c r="C1029" s="3" t="n">
        <v>36.37</v>
      </c>
      <c r="D1029" s="3" t="n">
        <v>57.28</v>
      </c>
      <c r="E1029" s="3" t="n">
        <v>12.41</v>
      </c>
      <c r="F1029" s="3" t="n">
        <v>32.66</v>
      </c>
      <c r="G1029" s="3" t="n">
        <v>13.4</v>
      </c>
      <c r="H1029" s="3" t="n">
        <v>15.76</v>
      </c>
      <c r="I1029" s="3" t="n">
        <v>36.35</v>
      </c>
      <c r="J1029" s="3" t="n">
        <v>143.45</v>
      </c>
    </row>
    <row r="1030">
      <c r="A1030" s="8" t="n">
        <v>45930</v>
      </c>
      <c r="B1030" s="3" t="n">
        <v>15.97</v>
      </c>
      <c r="C1030" s="3" t="n">
        <v>36.59</v>
      </c>
      <c r="D1030" s="3" t="n">
        <v>57.58</v>
      </c>
      <c r="E1030" s="3" t="n">
        <v>12.09</v>
      </c>
      <c r="F1030" s="3" t="n">
        <v>33.26</v>
      </c>
      <c r="G1030" s="3" t="n">
        <v>13.4</v>
      </c>
      <c r="H1030" s="3" t="n">
        <v>15.13</v>
      </c>
      <c r="I1030" s="3" t="n">
        <v>35.85</v>
      </c>
      <c r="J1030" s="3" t="n">
        <v>143.24</v>
      </c>
    </row>
    <row r="1031">
      <c r="A1031" s="8" t="n">
        <v>45931</v>
      </c>
      <c r="B1031" s="3" t="n">
        <v>15.74</v>
      </c>
      <c r="C1031" s="3" t="n">
        <v>35.79</v>
      </c>
      <c r="D1031" s="3" t="n">
        <v>58.31</v>
      </c>
      <c r="E1031" s="3" t="n">
        <v>11.99</v>
      </c>
      <c r="F1031" s="3" t="n">
        <v>33.41</v>
      </c>
      <c r="G1031" s="3" t="n">
        <v>13.09</v>
      </c>
      <c r="H1031" s="3" t="n">
        <v>15.15</v>
      </c>
      <c r="I1031" s="3" t="n">
        <v>35.48</v>
      </c>
      <c r="J1031" s="3" t="n">
        <v>142.52</v>
      </c>
    </row>
    <row r="1032">
      <c r="A1032" s="8" t="n">
        <v>45932</v>
      </c>
      <c r="B1032" s="3" t="n">
        <v>15.9</v>
      </c>
      <c r="C1032" s="3" t="n">
        <v>36.13</v>
      </c>
      <c r="D1032" s="3" t="n">
        <v>58.7</v>
      </c>
      <c r="E1032" s="3" t="n">
        <v>11.93</v>
      </c>
      <c r="F1032" s="3" t="n">
        <v>33.08</v>
      </c>
      <c r="G1032" s="3" t="n">
        <v>12.84</v>
      </c>
      <c r="H1032" s="3" t="n">
        <v>14.8</v>
      </c>
      <c r="I1032" s="3" t="n">
        <v>35.55</v>
      </c>
      <c r="J1032" s="3" t="n">
        <v>140.99</v>
      </c>
    </row>
    <row r="1033">
      <c r="A1033" s="8" t="n">
        <v>45933</v>
      </c>
      <c r="B1033" s="3" t="n">
        <v>15.9</v>
      </c>
      <c r="C1033" s="3" t="n">
        <v>36.4</v>
      </c>
      <c r="D1033" s="3" t="n">
        <v>58.59</v>
      </c>
      <c r="E1033" s="3" t="n">
        <v>11.87</v>
      </c>
      <c r="F1033" s="3" t="n">
        <v>32.82</v>
      </c>
      <c r="G1033" s="3" t="n">
        <v>12.75</v>
      </c>
      <c r="H1033" s="3" t="n">
        <v>14.7</v>
      </c>
      <c r="I1033" s="3" t="n">
        <v>35.86</v>
      </c>
      <c r="J1033" s="3" t="n">
        <v>141.22</v>
      </c>
    </row>
    <row r="1034">
      <c r="A1034" s="8" t="n">
        <v>45936</v>
      </c>
      <c r="B1034" s="3" t="n">
        <v>15.75</v>
      </c>
      <c r="C1034" s="3" t="n">
        <v>35.68</v>
      </c>
      <c r="D1034" s="3" t="n">
        <v>59.59</v>
      </c>
      <c r="E1034" s="3" t="n">
        <v>11.85</v>
      </c>
      <c r="F1034" s="3" t="n">
        <v>32.8</v>
      </c>
      <c r="G1034" s="3" t="n">
        <v>12.64</v>
      </c>
      <c r="H1034" s="3" t="n">
        <v>14.39</v>
      </c>
      <c r="I1034" s="3" t="n">
        <v>36</v>
      </c>
      <c r="J1034" s="3" t="n">
        <v>140.67</v>
      </c>
    </row>
    <row r="1035">
      <c r="A1035" s="8" t="n">
        <v>45937</v>
      </c>
      <c r="B1035" s="3" t="n">
        <v>15.7</v>
      </c>
      <c r="C1035" s="3" t="n">
        <v>35.73</v>
      </c>
      <c r="D1035" s="3" t="n">
        <v>58.75</v>
      </c>
      <c r="E1035" s="3" t="n">
        <v>11.71</v>
      </c>
      <c r="F1035" s="3" t="n">
        <v>33.06</v>
      </c>
      <c r="G1035" s="3" t="n">
        <v>12.24</v>
      </c>
      <c r="H1035" s="3" t="n">
        <v>13.57</v>
      </c>
      <c r="I1035" s="3" t="n">
        <v>35.33</v>
      </c>
      <c r="J1035" s="3" t="n">
        <v>138.45</v>
      </c>
    </row>
    <row r="1036">
      <c r="A1036" s="8" t="n">
        <v>45938</v>
      </c>
      <c r="B1036" s="3" t="n">
        <v>15.73</v>
      </c>
      <c r="C1036" s="3" t="n">
        <v>35.5</v>
      </c>
      <c r="D1036" s="3" t="n">
        <v>59.2</v>
      </c>
      <c r="E1036" s="3" t="n">
        <v>11.88</v>
      </c>
      <c r="F1036" s="3" t="n">
        <v>32.76</v>
      </c>
      <c r="G1036" s="3" t="n">
        <v>12.66</v>
      </c>
      <c r="H1036" s="3" t="n">
        <v>13.81</v>
      </c>
      <c r="I1036" s="3" t="n">
        <v>36.13</v>
      </c>
      <c r="J1036" s="3" t="n">
        <v>139.2</v>
      </c>
    </row>
    <row r="1037">
      <c r="A1037" s="8" t="n">
        <v>45939</v>
      </c>
      <c r="B1037" s="3" t="n">
        <v>15.49</v>
      </c>
      <c r="C1037" s="3" t="n">
        <v>37.2</v>
      </c>
      <c r="D1037" s="3" t="n">
        <v>59.11</v>
      </c>
      <c r="E1037" s="3" t="n">
        <v>11.72</v>
      </c>
      <c r="F1037" s="3" t="n">
        <v>32.76</v>
      </c>
      <c r="G1037" s="3" t="n">
        <v>12.79</v>
      </c>
      <c r="H1037" s="3" t="n">
        <v>13.84</v>
      </c>
      <c r="I1037" s="3" t="n">
        <v>35.87</v>
      </c>
      <c r="J1037" s="3" t="n">
        <v>138.75</v>
      </c>
    </row>
    <row r="1038">
      <c r="A1038" s="8" t="n">
        <v>45940</v>
      </c>
      <c r="B1038" s="3" t="n">
        <v>15.53</v>
      </c>
      <c r="C1038" s="3" t="n">
        <v>36.69</v>
      </c>
      <c r="D1038" s="3" t="n">
        <v>58.87</v>
      </c>
      <c r="E1038" s="3" t="n">
        <v>11.81</v>
      </c>
      <c r="F1038" s="3" t="n">
        <v>32.6</v>
      </c>
      <c r="G1038" s="3" t="n">
        <v>12.6</v>
      </c>
      <c r="H1038" s="3" t="n">
        <v>13.98</v>
      </c>
      <c r="I1038" s="3" t="n">
        <v>33.71</v>
      </c>
      <c r="J1038" s="3" t="n">
        <v>137.81</v>
      </c>
    </row>
    <row r="1039">
      <c r="A1039" s="8" t="n">
        <v>45943</v>
      </c>
      <c r="B1039" s="3" t="n">
        <v>15.47</v>
      </c>
      <c r="C1039" s="3" t="n">
        <v>37.84</v>
      </c>
      <c r="D1039" s="3" t="n">
        <v>59.75</v>
      </c>
      <c r="E1039" s="3" t="n">
        <v>11.86</v>
      </c>
      <c r="F1039" s="3" t="n">
        <v>32.45</v>
      </c>
      <c r="G1039" s="3" t="n">
        <v>12.71</v>
      </c>
      <c r="H1039" s="3" t="n">
        <v>14.14</v>
      </c>
      <c r="I1039" s="3" t="n">
        <v>33.76</v>
      </c>
      <c r="J1039" s="3" t="n">
        <v>138.75</v>
      </c>
    </row>
    <row r="1040">
      <c r="A1040" s="8" t="n">
        <v>45944</v>
      </c>
      <c r="B1040" s="3" t="n">
        <v>15.37</v>
      </c>
      <c r="C1040" s="3" t="n">
        <v>37.33</v>
      </c>
      <c r="D1040" s="3" t="n">
        <v>59.75</v>
      </c>
      <c r="E1040" s="3" t="n">
        <v>12.05</v>
      </c>
      <c r="F1040" s="3" t="n">
        <v>32.48</v>
      </c>
      <c r="G1040" s="3" t="n">
        <v>12.55</v>
      </c>
      <c r="H1040" s="3" t="n">
        <v>14.32</v>
      </c>
      <c r="I1040" s="3" t="n">
        <v>32.96</v>
      </c>
      <c r="J1040" s="3" t="n">
        <v>138.74</v>
      </c>
    </row>
    <row r="1041">
      <c r="A1041" s="8" t="n">
        <v>45945</v>
      </c>
      <c r="B1041" s="3" t="n">
        <v>15.58</v>
      </c>
      <c r="C1041" s="3" t="n">
        <v>37.42</v>
      </c>
      <c r="D1041" s="3" t="n">
        <v>60.86</v>
      </c>
      <c r="E1041" s="3" t="n">
        <v>11.99</v>
      </c>
      <c r="F1041" s="3" t="n">
        <v>32.01</v>
      </c>
      <c r="G1041" s="3" t="n">
        <v>12.64</v>
      </c>
      <c r="H1041" s="3" t="n">
        <v>14.25</v>
      </c>
      <c r="I1041" s="3" t="n">
        <v>33.4</v>
      </c>
      <c r="J1041" s="3" t="n">
        <v>139.49</v>
      </c>
    </row>
    <row r="1042">
      <c r="A1042" s="8" t="n">
        <v>45946</v>
      </c>
      <c r="B1042" s="3" t="n">
        <v>15.05</v>
      </c>
      <c r="C1042" s="3" t="n">
        <v>38.43</v>
      </c>
      <c r="D1042" s="3" t="n">
        <v>60.3</v>
      </c>
      <c r="E1042" s="3" t="n">
        <v>12.15</v>
      </c>
      <c r="F1042" s="3" t="n">
        <v>31.81</v>
      </c>
      <c r="G1042" s="3" t="n">
        <v>12.6</v>
      </c>
      <c r="H1042" s="3" t="n">
        <v>14.31</v>
      </c>
      <c r="I1042" s="3" t="n">
        <v>32.62</v>
      </c>
      <c r="J1042" s="3" t="n">
        <v>139.16</v>
      </c>
    </row>
    <row r="1043">
      <c r="A1043" s="8" t="n">
        <v>45947</v>
      </c>
      <c r="B1043" s="3" t="n">
        <v>15.47</v>
      </c>
      <c r="C1043" s="3" t="n">
        <v>40.15</v>
      </c>
      <c r="D1043" s="3" t="n">
        <v>60.13</v>
      </c>
      <c r="E1043" s="3" t="n">
        <v>12.37</v>
      </c>
      <c r="F1043" s="3" t="n">
        <v>31.96</v>
      </c>
      <c r="G1043" s="3" t="n">
        <v>12.56</v>
      </c>
      <c r="H1043" s="3" t="n">
        <v>14.24</v>
      </c>
      <c r="I1043" s="3" t="n">
        <v>32.9</v>
      </c>
      <c r="J1043" s="3" t="n">
        <v>140.4</v>
      </c>
    </row>
    <row r="1044">
      <c r="A1044" s="8" t="n">
        <v>45950</v>
      </c>
      <c r="B1044" s="3" t="n">
        <v>15.48</v>
      </c>
      <c r="C1044" s="3" t="n">
        <v>39.54</v>
      </c>
      <c r="D1044" s="3" t="n">
        <v>60.9</v>
      </c>
      <c r="E1044" s="3" t="n">
        <v>12.36</v>
      </c>
      <c r="F1044" s="3" t="n">
        <v>32.11</v>
      </c>
      <c r="G1044" s="3" t="n">
        <v>12.66</v>
      </c>
      <c r="H1044" s="3" t="n">
        <v>14.3</v>
      </c>
      <c r="I1044" s="3" t="n">
        <v>33.04</v>
      </c>
      <c r="J1044" s="3" t="n">
        <v>141.27</v>
      </c>
    </row>
    <row r="1045">
      <c r="A1045" s="8" t="n">
        <v>45951</v>
      </c>
      <c r="B1045" s="3" t="n">
        <v>15.57</v>
      </c>
      <c r="C1045" s="3" t="n">
        <v>39.67</v>
      </c>
      <c r="D1045" s="3" t="n">
        <v>60.8</v>
      </c>
      <c r="E1045" s="3" t="n">
        <v>12.22</v>
      </c>
      <c r="F1045" s="3" t="n">
        <v>31.91</v>
      </c>
      <c r="G1045" s="3" t="n">
        <v>12.33</v>
      </c>
      <c r="H1045" s="3" t="n">
        <v>14.63</v>
      </c>
      <c r="I1045" s="3" t="n">
        <v>32.63</v>
      </c>
      <c r="J1045" s="3" t="n">
        <v>141.17</v>
      </c>
    </row>
    <row r="1046">
      <c r="A1046" s="8" t="n">
        <v>45952</v>
      </c>
      <c r="B1046" s="3" t="n">
        <v>15.37</v>
      </c>
      <c r="C1046" s="3" t="n">
        <v>40.02</v>
      </c>
      <c r="D1046" s="3" t="n">
        <v>61.88</v>
      </c>
      <c r="E1046" s="3" t="n">
        <v>12.07</v>
      </c>
      <c r="F1046" s="3" t="n">
        <v>32.1</v>
      </c>
      <c r="G1046" s="3" t="n">
        <v>12.45</v>
      </c>
      <c r="H1046" s="3" t="n">
        <v>14.47</v>
      </c>
      <c r="I1046" s="3" t="n">
        <v>32.36</v>
      </c>
      <c r="J1046" s="3" t="n">
        <v>141.88</v>
      </c>
    </row>
    <row r="1047">
      <c r="A1047" s="8" t="n">
        <v>45953</v>
      </c>
      <c r="B1047" s="3" t="n">
        <v>15.55</v>
      </c>
      <c r="C1047" s="3" t="n">
        <v>41.44</v>
      </c>
      <c r="D1047" s="3" t="n">
        <v>61.76</v>
      </c>
      <c r="E1047" s="3" t="n">
        <v>12.12</v>
      </c>
      <c r="F1047" s="3" t="n">
        <v>32.01</v>
      </c>
      <c r="G1047" s="3" t="n">
        <v>12.59</v>
      </c>
      <c r="H1047" s="3" t="n">
        <v>14.82</v>
      </c>
      <c r="I1047" s="3" t="n">
        <v>32.23</v>
      </c>
      <c r="J1047" s="3" t="n">
        <v>142.68</v>
      </c>
    </row>
    <row r="1048">
      <c r="A1048" s="8" t="n">
        <v>45954</v>
      </c>
      <c r="B1048" s="3" t="n">
        <v>15.38</v>
      </c>
      <c r="C1048" s="3" t="n">
        <v>41.37</v>
      </c>
      <c r="D1048" s="3" t="n">
        <v>61.73</v>
      </c>
      <c r="E1048" s="3" t="n">
        <v>12.11</v>
      </c>
      <c r="F1048" s="3" t="n">
        <v>32.08</v>
      </c>
      <c r="G1048" s="3" t="n">
        <v>12.5</v>
      </c>
      <c r="H1048" s="3" t="n">
        <v>14.8</v>
      </c>
      <c r="I1048" s="3" t="n">
        <v>32.43</v>
      </c>
      <c r="J1048" s="3" t="n">
        <v>143</v>
      </c>
    </row>
    <row r="1049">
      <c r="A1049" s="8" t="n">
        <v>45957</v>
      </c>
      <c r="B1049" s="3" t="n">
        <v>15.56</v>
      </c>
      <c r="C1049" s="3" t="n">
        <v>41.67</v>
      </c>
      <c r="D1049" s="3" t="n">
        <v>61.66</v>
      </c>
      <c r="E1049" s="3" t="n">
        <v>12.15</v>
      </c>
      <c r="F1049" s="3" t="n">
        <v>32.17</v>
      </c>
      <c r="G1049" s="3" t="n">
        <v>12.53</v>
      </c>
      <c r="H1049" s="3" t="n">
        <v>14.82</v>
      </c>
      <c r="I1049" s="3" t="n">
        <v>32.39</v>
      </c>
      <c r="J1049" s="3" t="n">
        <v>144</v>
      </c>
    </row>
    <row r="1050">
      <c r="A1050" s="8" t="n">
        <v>45958</v>
      </c>
      <c r="B1050" s="3" t="n">
        <v>15.8</v>
      </c>
      <c r="C1050" s="3" t="n">
        <v>42.32</v>
      </c>
      <c r="D1050" s="3" t="n">
        <v>62.2</v>
      </c>
      <c r="E1050" s="3" t="n">
        <v>12.03</v>
      </c>
      <c r="F1050" s="3" t="n">
        <v>32.68</v>
      </c>
      <c r="G1050" s="3" t="n">
        <v>12.63</v>
      </c>
      <c r="H1050" s="3" t="n">
        <v>14.58</v>
      </c>
      <c r="I1050" s="3" t="n">
        <v>32.12</v>
      </c>
      <c r="J1050" s="3" t="n">
        <v>144.32</v>
      </c>
    </row>
    <row r="1051">
      <c r="A1051" s="8" t="n">
        <v>45959</v>
      </c>
      <c r="B1051" s="3" t="n">
        <v>15.64</v>
      </c>
      <c r="C1051" s="3" t="n">
        <v>42.05</v>
      </c>
      <c r="D1051" s="3" t="n">
        <v>63.33</v>
      </c>
      <c r="E1051" s="3" t="n">
        <v>12.03</v>
      </c>
      <c r="F1051" s="3" t="n">
        <v>32.42</v>
      </c>
      <c r="G1051" s="3" t="n">
        <v>12.64</v>
      </c>
      <c r="H1051" s="3" t="n">
        <v>14.63</v>
      </c>
      <c r="I1051" s="3" t="n">
        <v>31.6</v>
      </c>
      <c r="J1051" s="3" t="n">
        <v>145.3</v>
      </c>
    </row>
    <row r="1052">
      <c r="A1052" s="8" t="n">
        <v>45960</v>
      </c>
      <c r="B1052" s="3" t="n">
        <v>15.99</v>
      </c>
      <c r="C1052" s="3" t="n">
        <v>41.45</v>
      </c>
      <c r="D1052" s="3" t="n">
        <v>63.81</v>
      </c>
      <c r="E1052" s="3" t="n">
        <v>12.59</v>
      </c>
      <c r="F1052" s="3" t="n">
        <v>32.82</v>
      </c>
      <c r="G1052" s="3" t="n">
        <v>12.6</v>
      </c>
      <c r="H1052" s="3" t="n">
        <v>14.59</v>
      </c>
      <c r="I1052" s="3" t="n">
        <v>31.57</v>
      </c>
      <c r="J1052" s="3" t="n">
        <v>145.7</v>
      </c>
    </row>
    <row r="1053">
      <c r="A1053" s="8" t="n">
        <v>45961</v>
      </c>
      <c r="B1053" s="3" t="n">
        <v>15.92</v>
      </c>
      <c r="C1053" s="3" t="n">
        <v>42.1</v>
      </c>
      <c r="D1053" s="3" t="n">
        <v>65.26000000000001</v>
      </c>
      <c r="E1053" s="3" t="n">
        <v>12.71</v>
      </c>
      <c r="F1053" s="3" t="n">
        <v>32.85</v>
      </c>
      <c r="G1053" s="3" t="n">
        <v>12.66</v>
      </c>
      <c r="H1053" s="3" t="n">
        <v>14.84</v>
      </c>
      <c r="I1053" s="3" t="n">
        <v>31.28</v>
      </c>
      <c r="J1053" s="3" t="n">
        <v>146.41</v>
      </c>
    </row>
    <row r="1054">
      <c r="A1054" s="8" t="n">
        <v>45964</v>
      </c>
      <c r="B1054" s="3" t="n">
        <v>15.61</v>
      </c>
      <c r="C1054" s="3" t="n">
        <v>42.8</v>
      </c>
      <c r="D1054" s="3" t="n">
        <v>65.34999999999999</v>
      </c>
      <c r="E1054" s="3" t="n">
        <v>12.91</v>
      </c>
      <c r="F1054" s="3" t="n">
        <v>33.24</v>
      </c>
      <c r="G1054" s="3" t="n">
        <v>12.84</v>
      </c>
      <c r="H1054" s="3" t="n">
        <v>14.75</v>
      </c>
      <c r="I1054" s="3" t="n">
        <v>30.4</v>
      </c>
      <c r="J1054" s="3" t="n">
        <v>147.37</v>
      </c>
    </row>
    <row r="1055">
      <c r="A1055" s="8" t="n">
        <v>45965</v>
      </c>
      <c r="B1055" s="3" t="n">
        <v>15.65</v>
      </c>
      <c r="C1055" s="3" t="n">
        <v>42.75</v>
      </c>
      <c r="D1055" s="3" t="n">
        <v>64.62</v>
      </c>
      <c r="E1055" s="3" t="n">
        <v>13.16</v>
      </c>
      <c r="F1055" s="3" t="n">
        <v>33.64</v>
      </c>
      <c r="G1055" s="3" t="n">
        <v>12.84</v>
      </c>
      <c r="H1055" s="3" t="n">
        <v>14.97</v>
      </c>
      <c r="I1055" s="3" t="n">
        <v>30.55</v>
      </c>
      <c r="J1055" s="3" t="n">
        <v>147.53</v>
      </c>
    </row>
    <row r="1056">
      <c r="A1056" s="8" t="n">
        <v>45966</v>
      </c>
      <c r="B1056" s="3" t="n">
        <v>15.78</v>
      </c>
      <c r="C1056" s="3" t="n">
        <v>43.51</v>
      </c>
      <c r="D1056" s="3" t="n">
        <v>65.73</v>
      </c>
      <c r="E1056" s="3" t="n">
        <v>13.18</v>
      </c>
      <c r="F1056" s="3" t="n">
        <v>33.75</v>
      </c>
      <c r="G1056" s="3" t="n">
        <v>13.2</v>
      </c>
      <c r="H1056" s="3" t="n">
        <v>15.46</v>
      </c>
      <c r="I1056" s="3" t="n">
        <v>31.6</v>
      </c>
      <c r="J1056" s="3" t="n">
        <v>150.38</v>
      </c>
    </row>
    <row r="1057">
      <c r="A1057" s="8" t="n">
        <v>45967</v>
      </c>
      <c r="B1057" s="3" t="n">
        <v>15.62</v>
      </c>
      <c r="C1057" s="3" t="n">
        <v>43.91</v>
      </c>
      <c r="D1057" s="3" t="n">
        <v>65.5</v>
      </c>
      <c r="E1057" s="3" t="n">
        <v>13.08</v>
      </c>
      <c r="F1057" s="3" t="n">
        <v>34.23</v>
      </c>
      <c r="G1057" s="3" t="n">
        <v>13.1</v>
      </c>
      <c r="H1057" s="3" t="n">
        <v>14.56</v>
      </c>
      <c r="I1057" s="3" t="n">
        <v>31.36</v>
      </c>
      <c r="J1057" s="3" t="n">
        <v>150.1</v>
      </c>
    </row>
    <row r="1058">
      <c r="A1058" s="8" t="n">
        <v>45968</v>
      </c>
      <c r="B1058" s="3" t="n">
        <v>15.64</v>
      </c>
      <c r="C1058" s="3" t="n">
        <v>45</v>
      </c>
      <c r="D1058" s="3" t="n">
        <v>64.78</v>
      </c>
      <c r="E1058" s="3" t="n">
        <v>13.12</v>
      </c>
      <c r="F1058" s="3" t="n">
        <v>33.82</v>
      </c>
      <c r="G1058" s="3" t="n">
        <v>12.98</v>
      </c>
      <c r="H1058" s="3" t="n">
        <v>13.95</v>
      </c>
      <c r="I1058" s="3" t="n">
        <v>31.07</v>
      </c>
      <c r="J1058" s="3" t="n">
        <v>150.8</v>
      </c>
    </row>
    <row r="1059">
      <c r="A1059" s="8" t="n">
        <v>45971</v>
      </c>
      <c r="B1059" s="3" t="n">
        <v>15.81</v>
      </c>
      <c r="C1059" s="3" t="n">
        <v>45.37</v>
      </c>
      <c r="D1059" s="3" t="n">
        <v>65.20999999999999</v>
      </c>
      <c r="E1059" s="3" t="n">
        <v>13.18</v>
      </c>
      <c r="F1059" s="3" t="n">
        <v>34.34</v>
      </c>
      <c r="G1059" s="3" t="n">
        <v>13.12</v>
      </c>
      <c r="H1059" s="3" t="n">
        <v>14.5</v>
      </c>
      <c r="I1059" s="3" t="n">
        <v>31.36</v>
      </c>
      <c r="J1059" s="3" t="n">
        <v>152.25</v>
      </c>
    </row>
    <row r="1060">
      <c r="A1060" s="8" t="n">
        <v>45972</v>
      </c>
      <c r="B1060" s="3" t="n">
        <v>16.32</v>
      </c>
      <c r="C1060" s="3" t="n">
        <v>46.03</v>
      </c>
      <c r="D1060" s="3" t="n">
        <v>65.04000000000001</v>
      </c>
      <c r="E1060" s="3" t="n">
        <v>13.59</v>
      </c>
      <c r="F1060" s="3" t="n">
        <v>33.56</v>
      </c>
      <c r="G1060" s="3" t="n">
        <v>13.53</v>
      </c>
      <c r="H1060" s="3" t="n">
        <v>14.95</v>
      </c>
      <c r="I1060" s="3" t="n">
        <v>31.58</v>
      </c>
      <c r="J1060" s="3" t="n">
        <v>154.8</v>
      </c>
    </row>
    <row r="1061">
      <c r="A1061" s="8" t="n">
        <v>45973</v>
      </c>
      <c r="B1061" s="3" t="n">
        <v>16.4</v>
      </c>
      <c r="C1061" s="3" t="n">
        <v>44.89</v>
      </c>
      <c r="D1061" s="3" t="n">
        <v>65.76000000000001</v>
      </c>
      <c r="E1061" s="3" t="n">
        <v>13.62</v>
      </c>
      <c r="F1061" s="3" t="n">
        <v>33.29</v>
      </c>
      <c r="G1061" s="3" t="n">
        <v>14.12</v>
      </c>
      <c r="H1061" s="3" t="n">
        <v>14.94</v>
      </c>
      <c r="I1061" s="3" t="n">
        <v>32.69</v>
      </c>
      <c r="J1061" s="3" t="n">
        <v>154.44</v>
      </c>
    </row>
    <row r="1062">
      <c r="A1062" s="8" t="n">
        <v>45974</v>
      </c>
      <c r="B1062" s="3" t="n">
        <v>16.42</v>
      </c>
      <c r="C1062" s="3" t="n">
        <v>44.82</v>
      </c>
      <c r="D1062" s="3" t="n">
        <v>65.67</v>
      </c>
      <c r="E1062" s="3" t="n">
        <v>13.63</v>
      </c>
      <c r="F1062" s="3" t="n">
        <v>33.33</v>
      </c>
      <c r="G1062" s="3" t="n">
        <v>14.47</v>
      </c>
      <c r="H1062" s="3" t="n">
        <v>14.83</v>
      </c>
      <c r="I1062" s="3" t="n">
        <v>18.89</v>
      </c>
      <c r="J1062" s="3" t="n">
        <v>154.1</v>
      </c>
    </row>
    <row r="1063">
      <c r="A1063" s="8" t="n">
        <v>45975</v>
      </c>
      <c r="B1063" s="3" t="n">
        <v>16.52</v>
      </c>
      <c r="C1063" s="3" t="n">
        <v>44.44</v>
      </c>
      <c r="D1063" s="3" t="n">
        <v>65.27</v>
      </c>
      <c r="E1063" s="3" t="n">
        <v>13.69</v>
      </c>
      <c r="F1063" s="3" t="n">
        <v>33.79</v>
      </c>
      <c r="G1063" s="3" t="n">
        <v>14.44</v>
      </c>
      <c r="H1063" s="3" t="n">
        <v>15.16</v>
      </c>
      <c r="I1063" s="3" t="n">
        <v>17.79</v>
      </c>
      <c r="J1063" s="3" t="n">
        <v>154.34</v>
      </c>
    </row>
    <row r="1064">
      <c r="A1064" s="8" t="n">
        <v>45978</v>
      </c>
      <c r="B1064" s="3" t="n">
        <v>15.02</v>
      </c>
      <c r="C1064" s="3" t="n">
        <v>43.97</v>
      </c>
      <c r="D1064" s="3" t="n">
        <v>65.22</v>
      </c>
      <c r="E1064" s="3" t="n">
        <v>13.76</v>
      </c>
      <c r="F1064" s="3" t="n">
        <v>33.85</v>
      </c>
      <c r="G1064" s="3" t="n">
        <v>14.16</v>
      </c>
      <c r="H1064" s="3" t="n">
        <v>15.13</v>
      </c>
      <c r="I1064" s="3" t="n">
        <v>18</v>
      </c>
      <c r="J1064" s="3" t="n">
        <v>153.79</v>
      </c>
    </row>
    <row r="1065">
      <c r="A1065" s="8" t="n">
        <v>45979</v>
      </c>
      <c r="B1065" s="3" t="n">
        <v>15.41</v>
      </c>
      <c r="C1065" s="3" t="n">
        <v>43.44</v>
      </c>
      <c r="D1065" s="3" t="n">
        <v>65.02</v>
      </c>
      <c r="E1065" s="3" t="n">
        <v>13.74</v>
      </c>
      <c r="F1065" s="3" t="n">
        <v>33.49</v>
      </c>
      <c r="G1065" s="3" t="n">
        <v>14.05</v>
      </c>
      <c r="H1065" s="3" t="n">
        <v>15.08</v>
      </c>
      <c r="I1065" s="3" t="n">
        <v>17</v>
      </c>
      <c r="J1065" s="3" t="n">
        <v>153.53</v>
      </c>
    </row>
    <row r="1066">
      <c r="A1066" s="8" t="n">
        <v>45980</v>
      </c>
      <c r="B1066" s="3" t="n">
        <v>15.69</v>
      </c>
      <c r="C1066" s="3" t="n">
        <v>43.65</v>
      </c>
      <c r="D1066" s="3" t="n">
        <v>64.95</v>
      </c>
      <c r="E1066" s="3" t="n">
        <v>13.41</v>
      </c>
      <c r="F1066" s="3" t="n">
        <v>33.32</v>
      </c>
      <c r="G1066" s="3" t="n">
        <v>13.85</v>
      </c>
      <c r="H1066" s="3" t="n">
        <v>14.92</v>
      </c>
      <c r="I1066" s="3" t="n">
        <v>17.34</v>
      </c>
      <c r="J1066" s="3" t="n">
        <v>152</v>
      </c>
    </row>
    <row r="1067">
      <c r="A1067" s="8" t="n">
        <v>45982</v>
      </c>
      <c r="B1067" s="3" t="n">
        <v>15.33</v>
      </c>
      <c r="C1067" s="3" t="n">
        <v>43.22</v>
      </c>
      <c r="D1067" s="3" t="n">
        <v>65.16</v>
      </c>
      <c r="E1067" s="3" t="n">
        <v>13.62</v>
      </c>
      <c r="F1067" s="3" t="n">
        <v>33.27</v>
      </c>
      <c r="G1067" s="3" t="n">
        <v>13.89</v>
      </c>
      <c r="H1067" s="3" t="n">
        <v>15.19</v>
      </c>
      <c r="I1067" s="3" t="n">
        <v>17.42</v>
      </c>
      <c r="J1067" s="3" t="n">
        <v>151.95</v>
      </c>
    </row>
    <row r="1068">
      <c r="A1068" s="8" t="n">
        <v>45985</v>
      </c>
      <c r="B1068" s="3" t="n">
        <v>15.25</v>
      </c>
      <c r="C1068" s="3" t="n">
        <v>43.19</v>
      </c>
      <c r="D1068" s="3" t="n">
        <v>65.09</v>
      </c>
      <c r="E1068" s="3" t="n">
        <v>13.77</v>
      </c>
      <c r="F1068" s="3" t="n">
        <v>33.56</v>
      </c>
      <c r="G1068" s="3" t="n">
        <v>13.98</v>
      </c>
      <c r="H1068" s="3" t="n">
        <v>15.1</v>
      </c>
      <c r="I1068" s="3" t="n">
        <v>17.13</v>
      </c>
      <c r="J1068" s="3" t="n">
        <v>152.35</v>
      </c>
    </row>
    <row r="1069">
      <c r="A1069" s="8" t="n">
        <v>45986</v>
      </c>
      <c r="B1069" s="3" t="n">
        <v>15.43</v>
      </c>
      <c r="C1069" s="3" t="n">
        <v>42.96</v>
      </c>
      <c r="D1069" s="3" t="n">
        <v>65.59999999999999</v>
      </c>
      <c r="E1069" s="3" t="n">
        <v>13.74</v>
      </c>
      <c r="F1069" s="3" t="n">
        <v>34.14</v>
      </c>
      <c r="G1069" s="3" t="n">
        <v>14.17</v>
      </c>
      <c r="H1069" s="3" t="n">
        <v>15.23</v>
      </c>
      <c r="I1069" s="3" t="n">
        <v>17.06</v>
      </c>
      <c r="J1069" s="3" t="n">
        <v>152.97</v>
      </c>
    </row>
    <row r="1070">
      <c r="A1070" s="8" t="n">
        <v>45987</v>
      </c>
      <c r="B1070" s="3" t="n">
        <v>16.84</v>
      </c>
      <c r="C1070" s="3" t="n">
        <v>44.4</v>
      </c>
      <c r="D1070" s="3" t="n">
        <v>66.58</v>
      </c>
      <c r="E1070" s="3" t="n">
        <v>13.67</v>
      </c>
      <c r="F1070" s="3" t="n">
        <v>34.6</v>
      </c>
      <c r="G1070" s="3" t="n">
        <v>14.71</v>
      </c>
      <c r="H1070" s="3" t="n">
        <v>15.45</v>
      </c>
      <c r="I1070" s="3" t="n">
        <v>15.84</v>
      </c>
      <c r="J1070" s="3" t="n">
        <v>155.74</v>
      </c>
    </row>
    <row r="1071">
      <c r="A1071" s="8" t="n">
        <v>45988</v>
      </c>
      <c r="B1071" s="3" t="n">
        <v>17.03</v>
      </c>
      <c r="C1071" s="3" t="n">
        <v>44.05</v>
      </c>
      <c r="D1071" s="3" t="n">
        <v>66.33</v>
      </c>
      <c r="E1071" s="3" t="n">
        <v>13.72</v>
      </c>
      <c r="F1071" s="3" t="n">
        <v>34.49</v>
      </c>
      <c r="G1071" s="3" t="n">
        <v>14.73</v>
      </c>
      <c r="H1071" s="3" t="n">
        <v>15.88</v>
      </c>
      <c r="I1071" s="3" t="n">
        <v>15</v>
      </c>
      <c r="J1071" s="3" t="n">
        <v>155.32</v>
      </c>
    </row>
    <row r="1072">
      <c r="A1072" s="8" t="n">
        <v>45989</v>
      </c>
      <c r="B1072" s="3" t="n">
        <v>16.85</v>
      </c>
      <c r="C1072" s="3" t="n">
        <v>44.25</v>
      </c>
      <c r="D1072" s="3" t="n">
        <v>67.40000000000001</v>
      </c>
      <c r="E1072" s="3" t="n">
        <v>13.86</v>
      </c>
      <c r="F1072" s="3" t="n">
        <v>34.11</v>
      </c>
      <c r="G1072" s="3" t="n">
        <v>14.96</v>
      </c>
      <c r="H1072" s="3" t="n">
        <v>15.75</v>
      </c>
      <c r="I1072" s="3" t="n">
        <v>14.1</v>
      </c>
      <c r="J1072" s="3" t="n">
        <v>155.85</v>
      </c>
    </row>
    <row r="1073">
      <c r="A1073" s="8" t="n">
        <v>45992</v>
      </c>
      <c r="B1073" s="3" t="n">
        <v>16.58</v>
      </c>
      <c r="C1073" s="3" t="n">
        <v>45.18</v>
      </c>
      <c r="D1073" s="3" t="n">
        <v>67.92</v>
      </c>
      <c r="E1073" s="3" t="n">
        <v>14.01</v>
      </c>
      <c r="F1073" s="3" t="n">
        <v>34.61</v>
      </c>
      <c r="G1073" s="3" t="n">
        <v>14.89</v>
      </c>
      <c r="H1073" s="3" t="n">
        <v>15.76</v>
      </c>
      <c r="I1073" s="3" t="n">
        <v>14.06</v>
      </c>
      <c r="J1073" s="3" t="n">
        <v>155.5</v>
      </c>
    </row>
    <row r="1074">
      <c r="A1074" s="8" t="n">
        <v>45993</v>
      </c>
      <c r="B1074" s="3" t="n">
        <v>16.83</v>
      </c>
      <c r="C1074" s="3" t="n">
        <v>45.61</v>
      </c>
      <c r="D1074" s="3" t="n">
        <v>68.48</v>
      </c>
      <c r="E1074" s="3" t="n">
        <v>14</v>
      </c>
      <c r="F1074" s="3" t="n">
        <v>34.8</v>
      </c>
      <c r="G1074" s="3" t="n">
        <v>15.1</v>
      </c>
      <c r="H1074" s="3" t="n">
        <v>15.79</v>
      </c>
      <c r="I1074" s="3" t="n">
        <v>14.6</v>
      </c>
      <c r="J1074" s="3" t="n">
        <v>157.97</v>
      </c>
    </row>
    <row r="1075">
      <c r="A1075" s="8" t="n">
        <v>45994</v>
      </c>
      <c r="B1075" s="3" t="n">
        <v>16.67</v>
      </c>
      <c r="C1075" s="3" t="n">
        <v>45.05</v>
      </c>
      <c r="D1075" s="3" t="n">
        <v>70.69</v>
      </c>
      <c r="E1075" s="3" t="n">
        <v>14.15</v>
      </c>
      <c r="F1075" s="3" t="n">
        <v>34.75</v>
      </c>
      <c r="G1075" s="3" t="n">
        <v>14.79</v>
      </c>
      <c r="H1075" s="3" t="n">
        <v>15.46</v>
      </c>
      <c r="I1075" s="3" t="n">
        <v>14.64</v>
      </c>
      <c r="J1075" s="3" t="n">
        <v>158.4</v>
      </c>
    </row>
    <row r="1076">
      <c r="A1076" s="8" t="n">
        <v>45995</v>
      </c>
      <c r="B1076" s="3" t="n">
        <v>16.89</v>
      </c>
      <c r="C1076" s="3" t="n">
        <v>45.5</v>
      </c>
      <c r="D1076" s="3" t="n">
        <v>71.92</v>
      </c>
      <c r="E1076" s="3" t="n">
        <v>13.95</v>
      </c>
      <c r="F1076" s="3" t="n">
        <v>35.3</v>
      </c>
      <c r="G1076" s="3" t="n">
        <v>15.02</v>
      </c>
      <c r="H1076" s="3" t="n">
        <v>15.04</v>
      </c>
      <c r="I1076" s="3" t="n">
        <v>15.55</v>
      </c>
      <c r="J1076" s="3" t="n">
        <v>161.29</v>
      </c>
    </row>
    <row r="1077">
      <c r="A1077" s="8" t="n">
        <v>45996</v>
      </c>
      <c r="B1077" s="3" t="n">
        <v>16.12</v>
      </c>
      <c r="C1077" s="3" t="n">
        <v>46.7</v>
      </c>
      <c r="D1077" s="3" t="n">
        <v>70.22</v>
      </c>
      <c r="E1077" s="3" t="n">
        <v>13.61</v>
      </c>
      <c r="F1077" s="3" t="n">
        <v>34.5</v>
      </c>
      <c r="G1077" s="3" t="n">
        <v>14.01</v>
      </c>
      <c r="H1077" s="3" t="n">
        <v>13.88</v>
      </c>
      <c r="I1077" s="3" t="n">
        <v>14.47</v>
      </c>
      <c r="J1077" s="3" t="n">
        <v>154.18</v>
      </c>
    </row>
    <row r="1078">
      <c r="A1078" s="8" t="n">
        <v>45999</v>
      </c>
      <c r="B1078" s="3" t="n">
        <v>15.8</v>
      </c>
      <c r="C1078" s="3" t="n">
        <v>47.77</v>
      </c>
      <c r="D1078" s="3" t="n">
        <v>69.73999999999999</v>
      </c>
      <c r="E1078" s="3" t="n">
        <v>13.62</v>
      </c>
      <c r="F1078" s="3" t="n">
        <v>35.42</v>
      </c>
      <c r="G1078" s="3" t="n">
        <v>14.35</v>
      </c>
      <c r="H1078" s="3" t="n">
        <v>14.24</v>
      </c>
      <c r="I1078" s="3" t="n">
        <v>13.6</v>
      </c>
      <c r="J1078" s="3" t="n">
        <v>155.25</v>
      </c>
    </row>
    <row r="1079">
      <c r="A1079" s="8" t="n">
        <v>46000</v>
      </c>
      <c r="B1079" s="3" t="n">
        <v>15.57</v>
      </c>
      <c r="C1079" s="3" t="n">
        <v>47.66</v>
      </c>
      <c r="D1079" s="3" t="n">
        <v>69.78</v>
      </c>
      <c r="E1079" s="3" t="n">
        <v>13.64</v>
      </c>
      <c r="F1079" s="3" t="n">
        <v>35.25</v>
      </c>
      <c r="G1079" s="3" t="n">
        <v>14.12</v>
      </c>
      <c r="H1079" s="3" t="n">
        <v>13.98</v>
      </c>
      <c r="I1079" s="3" t="n">
        <v>13.51</v>
      </c>
      <c r="J1079" s="3" t="n">
        <v>154.55</v>
      </c>
    </row>
    <row r="1080">
      <c r="A1080" s="8" t="n">
        <v>46001</v>
      </c>
      <c r="B1080" s="3" t="n">
        <v>15.67</v>
      </c>
      <c r="C1080" s="3" t="n">
        <v>48.47</v>
      </c>
      <c r="D1080" s="3" t="n">
        <v>71.06</v>
      </c>
      <c r="E1080" s="3" t="n">
        <v>13.6</v>
      </c>
      <c r="F1080" s="3" t="n">
        <v>35.43</v>
      </c>
      <c r="G1080" s="3" t="n">
        <v>14.21</v>
      </c>
      <c r="H1080" s="3" t="n">
        <v>14.02</v>
      </c>
      <c r="I1080" s="3" t="n">
        <v>13.48</v>
      </c>
      <c r="J1080" s="3" t="n">
        <v>156</v>
      </c>
    </row>
    <row r="1081">
      <c r="A1081" s="8" t="n">
        <v>46002</v>
      </c>
      <c r="B1081" s="3" t="n">
        <v>15.74</v>
      </c>
      <c r="C1081" s="3" t="n">
        <v>48.55</v>
      </c>
      <c r="D1081" s="3" t="n">
        <v>72</v>
      </c>
      <c r="E1081" s="3" t="n">
        <v>13.78</v>
      </c>
      <c r="F1081" s="3" t="n">
        <v>35.17</v>
      </c>
      <c r="G1081" s="3" t="n">
        <v>14.3</v>
      </c>
      <c r="H1081" s="3" t="n">
        <v>14.08</v>
      </c>
      <c r="I1081" s="3" t="n">
        <v>13.94</v>
      </c>
      <c r="J1081" s="3" t="n">
        <v>156.19</v>
      </c>
    </row>
    <row r="1082">
      <c r="A1082" s="8" t="n">
        <v>46003</v>
      </c>
      <c r="B1082" s="3" t="n">
        <v>15.79</v>
      </c>
      <c r="C1082" s="3" t="n">
        <v>49.52</v>
      </c>
      <c r="D1082" s="3" t="n">
        <v>68.61</v>
      </c>
      <c r="E1082" s="3" t="n">
        <v>14.04</v>
      </c>
      <c r="F1082" s="3" t="n">
        <v>35.61</v>
      </c>
      <c r="G1082" s="3" t="n">
        <v>14.33</v>
      </c>
      <c r="H1082" s="3" t="n">
        <v>14.2</v>
      </c>
      <c r="I1082" s="3" t="n">
        <v>14.7</v>
      </c>
      <c r="J1082" s="3" t="n">
        <v>157.5</v>
      </c>
    </row>
    <row r="1083">
      <c r="A1083" s="8" t="n">
        <v>46006</v>
      </c>
      <c r="B1083" s="3" t="n">
        <v>15.84</v>
      </c>
      <c r="C1083" s="3" t="n">
        <v>49.68</v>
      </c>
      <c r="D1083" s="3" t="n">
        <v>69.03</v>
      </c>
      <c r="E1083" s="3" t="n">
        <v>14.28</v>
      </c>
      <c r="F1083" s="3" t="n">
        <v>35.75</v>
      </c>
      <c r="G1083" s="3" t="n">
        <v>14.41</v>
      </c>
      <c r="H1083" s="3" t="n">
        <v>14.47</v>
      </c>
      <c r="I1083" s="3" t="n">
        <v>15.29</v>
      </c>
      <c r="J1083" s="3" t="n">
        <v>159.37</v>
      </c>
    </row>
    <row r="1084">
      <c r="A1084" s="8" t="n">
        <v>46007</v>
      </c>
      <c r="B1084" s="3" t="n">
        <v>14.74</v>
      </c>
      <c r="C1084" s="3" t="n">
        <v>49.94</v>
      </c>
      <c r="D1084" s="3" t="n">
        <v>69.29000000000001</v>
      </c>
      <c r="E1084" s="3" t="n">
        <v>14.16</v>
      </c>
      <c r="F1084" s="3" t="n">
        <v>35.24</v>
      </c>
      <c r="G1084" s="3" t="n">
        <v>13.72</v>
      </c>
      <c r="H1084" s="3" t="n">
        <v>13.93</v>
      </c>
      <c r="I1084" s="3" t="n">
        <v>14.47</v>
      </c>
      <c r="J1084" s="3" t="n">
        <v>155.16</v>
      </c>
    </row>
    <row r="1085">
      <c r="A1085" s="8" t="n">
        <v>46008</v>
      </c>
      <c r="B1085" s="3" t="n">
        <v>14.55</v>
      </c>
      <c r="C1085" s="3" t="n">
        <v>49.8</v>
      </c>
      <c r="D1085" s="3" t="n">
        <v>70.17</v>
      </c>
      <c r="E1085" s="3" t="n">
        <v>14.02</v>
      </c>
      <c r="F1085" s="3" t="n">
        <v>34.91</v>
      </c>
      <c r="G1085" s="3" t="n">
        <v>13.25</v>
      </c>
      <c r="H1085" s="3" t="n">
        <v>13.43</v>
      </c>
      <c r="I1085" s="3" t="n">
        <v>14.51</v>
      </c>
      <c r="J1085" s="3" t="n">
        <v>154.35</v>
      </c>
    </row>
    <row r="1086">
      <c r="A1086" s="8" t="n">
        <v>46009</v>
      </c>
      <c r="B1086" s="3" t="n">
        <v>14.65</v>
      </c>
      <c r="C1086" s="3" t="n">
        <v>50</v>
      </c>
      <c r="D1086" s="3" t="n">
        <v>70.34999999999999</v>
      </c>
      <c r="E1086" s="3" t="n">
        <v>13.92</v>
      </c>
      <c r="F1086" s="3" t="n">
        <v>35.29</v>
      </c>
      <c r="G1086" s="3" t="n">
        <v>13.3</v>
      </c>
      <c r="H1086" s="3" t="n">
        <v>13.38</v>
      </c>
      <c r="I1086" s="3" t="n">
        <v>14.23</v>
      </c>
      <c r="J1086" s="3" t="n">
        <v>154.86</v>
      </c>
    </row>
    <row r="1087">
      <c r="A1087" s="8" t="n">
        <v>46010</v>
      </c>
      <c r="B1087" s="3" t="n">
        <v>14.49</v>
      </c>
      <c r="C1087" s="3" t="n">
        <v>49.72</v>
      </c>
      <c r="D1087" s="3" t="n">
        <v>70.84999999999999</v>
      </c>
      <c r="E1087" s="3" t="n">
        <v>13.28</v>
      </c>
      <c r="F1087" s="3" t="n">
        <v>35.27</v>
      </c>
      <c r="G1087" s="3" t="n">
        <v>13.39</v>
      </c>
      <c r="H1087" s="3" t="n">
        <v>13.55</v>
      </c>
      <c r="I1087" s="3" t="n">
        <v>14.26</v>
      </c>
      <c r="J1087" s="3" t="n">
        <v>155.3</v>
      </c>
    </row>
    <row r="1088">
      <c r="A1088" s="8" t="n">
        <v>46013</v>
      </c>
      <c r="B1088" s="3" t="n">
        <v>14.42</v>
      </c>
      <c r="C1088" s="3" t="n">
        <v>47.66</v>
      </c>
      <c r="D1088" s="3" t="n">
        <v>72.92</v>
      </c>
      <c r="E1088" s="3" t="n">
        <v>13.12</v>
      </c>
      <c r="F1088" s="3" t="n">
        <v>35.07</v>
      </c>
      <c r="G1088" s="3" t="n">
        <v>13.24</v>
      </c>
      <c r="H1088" s="3" t="n">
        <v>13.08</v>
      </c>
      <c r="I1088" s="3" t="n">
        <v>14.06</v>
      </c>
      <c r="J1088" s="3" t="n">
        <v>155.07</v>
      </c>
    </row>
    <row r="1089">
      <c r="A1089" s="8" t="n">
        <v>46014</v>
      </c>
      <c r="B1089" s="3" t="n">
        <v>14.63</v>
      </c>
      <c r="C1089" s="3" t="n">
        <v>48.28</v>
      </c>
      <c r="D1089" s="3" t="n">
        <v>72.90000000000001</v>
      </c>
      <c r="E1089" s="3" t="n">
        <v>13.47</v>
      </c>
      <c r="F1089" s="3" t="n">
        <v>35.55</v>
      </c>
      <c r="G1089" s="3" t="n">
        <v>13.53</v>
      </c>
      <c r="H1089" s="3" t="n">
        <v>13.55</v>
      </c>
      <c r="I1089" s="3" t="n">
        <v>14.15</v>
      </c>
      <c r="J1089" s="3" t="n">
        <v>157.43</v>
      </c>
    </row>
    <row r="1090">
      <c r="A1090" s="8" t="n">
        <v>46017</v>
      </c>
      <c r="B1090" s="3" t="n">
        <v>14.73</v>
      </c>
      <c r="C1090" s="3" t="n">
        <v>48.75</v>
      </c>
      <c r="D1090" s="3" t="n">
        <v>73.12</v>
      </c>
      <c r="E1090" s="3" t="n">
        <v>13.72</v>
      </c>
      <c r="F1090" s="3" t="n">
        <v>35.77</v>
      </c>
      <c r="G1090" s="3" t="n">
        <v>13.72</v>
      </c>
      <c r="H1090" s="3" t="n">
        <v>13.65</v>
      </c>
      <c r="I1090" s="3" t="n">
        <v>14.55</v>
      </c>
      <c r="J1090" s="3" t="n">
        <v>157.82</v>
      </c>
    </row>
    <row r="1091">
      <c r="A1091" s="8" t="n">
        <v>46020</v>
      </c>
      <c r="B1091" s="3" t="n">
        <v>14.61</v>
      </c>
      <c r="C1091" s="3" t="n">
        <v>48.71</v>
      </c>
      <c r="D1091" s="3" t="n">
        <v>72.12</v>
      </c>
      <c r="E1091" s="3" t="n">
        <v>13.87</v>
      </c>
      <c r="F1091" s="3" t="n">
        <v>36.07</v>
      </c>
      <c r="G1091" s="3" t="n">
        <v>13.79</v>
      </c>
      <c r="H1091" s="3" t="n">
        <v>13.5</v>
      </c>
      <c r="I1091" s="3" t="n">
        <v>14.75</v>
      </c>
      <c r="J1091" s="3" t="n">
        <v>157.41</v>
      </c>
    </row>
    <row r="1092">
      <c r="A1092" s="8" t="n">
        <v>46021</v>
      </c>
      <c r="B1092" s="3" t="n">
        <v>14.76</v>
      </c>
      <c r="C1092" s="3" t="n">
        <v>48.51</v>
      </c>
      <c r="D1092" s="3" t="n">
        <v>71.95999999999999</v>
      </c>
      <c r="E1092" s="3" t="n">
        <v>13.86</v>
      </c>
      <c r="F1092" s="3" t="n">
        <v>36.15</v>
      </c>
      <c r="G1092" s="3" t="n">
        <v>13.89</v>
      </c>
      <c r="H1092" s="3" t="n">
        <v>13.45</v>
      </c>
      <c r="I1092" s="3" t="n">
        <v>14.73</v>
      </c>
      <c r="J1092" s="3" t="n">
        <v>158</v>
      </c>
    </row>
    <row r="1093">
      <c r="A1093" s="8" t="n">
        <v>46024</v>
      </c>
      <c r="B1093" s="3" t="n">
        <v>14.75</v>
      </c>
      <c r="C1093" s="3" t="n">
        <v>48.25</v>
      </c>
      <c r="D1093" s="3" t="n">
        <v>72.38</v>
      </c>
      <c r="E1093" s="3" t="n">
        <v>13.65</v>
      </c>
      <c r="F1093" s="3" t="n">
        <v>35.74</v>
      </c>
      <c r="G1093" s="3" t="n">
        <v>13.43</v>
      </c>
      <c r="H1093" s="3" t="n">
        <v>13.38</v>
      </c>
      <c r="I1093" s="3" t="n">
        <v>14.56</v>
      </c>
      <c r="J1093" s="3" t="n">
        <v>157.36</v>
      </c>
    </row>
    <row r="1094">
      <c r="A1094" s="8" t="n">
        <v>46027</v>
      </c>
      <c r="B1094" s="3" t="n">
        <v>14.84</v>
      </c>
      <c r="C1094" s="3" t="n">
        <v>48.08</v>
      </c>
      <c r="D1094" s="3" t="n">
        <v>73.12</v>
      </c>
      <c r="E1094" s="3" t="n">
        <v>13.71</v>
      </c>
      <c r="F1094" s="3" t="n">
        <v>35.86</v>
      </c>
      <c r="G1094" s="3" t="n">
        <v>13.95</v>
      </c>
      <c r="H1094" s="3" t="n">
        <v>12.98</v>
      </c>
      <c r="I1094" s="3" t="n">
        <v>15.17</v>
      </c>
      <c r="J1094" s="3" t="n">
        <v>158.52</v>
      </c>
    </row>
    <row r="1095">
      <c r="A1095" s="8" t="n">
        <v>46028</v>
      </c>
      <c r="B1095" s="3" t="n">
        <v>14.84</v>
      </c>
      <c r="C1095" s="3" t="n">
        <v>48.17</v>
      </c>
      <c r="D1095" s="3" t="n">
        <v>75.87</v>
      </c>
      <c r="E1095" s="3" t="n">
        <v>13.7</v>
      </c>
      <c r="F1095" s="3" t="n">
        <v>36.1</v>
      </c>
      <c r="G1095" s="3" t="n">
        <v>14.5</v>
      </c>
      <c r="H1095" s="3" t="n">
        <v>13.45</v>
      </c>
      <c r="I1095" s="3" t="n">
        <v>16.49</v>
      </c>
      <c r="J1095" s="3" t="n">
        <v>160.2</v>
      </c>
    </row>
    <row r="1096">
      <c r="A1096" s="8" t="n">
        <v>46029</v>
      </c>
      <c r="B1096" s="3" t="n">
        <v>14.66</v>
      </c>
      <c r="C1096" s="3" t="n">
        <v>47.7</v>
      </c>
      <c r="D1096" s="3" t="n">
        <v>76.31999999999999</v>
      </c>
      <c r="E1096" s="3" t="n">
        <v>13.7</v>
      </c>
      <c r="F1096" s="3" t="n">
        <v>35.4</v>
      </c>
      <c r="G1096" s="3" t="n">
        <v>14.28</v>
      </c>
      <c r="H1096" s="3" t="n">
        <v>13.13</v>
      </c>
      <c r="I1096" s="3" t="n">
        <v>16.14</v>
      </c>
      <c r="J1096" s="3" t="n">
        <v>158.8</v>
      </c>
    </row>
    <row r="1097">
      <c r="A1097" s="8" t="n">
        <v>46030</v>
      </c>
      <c r="B1097" s="3" t="n">
        <v>14.84</v>
      </c>
      <c r="C1097" s="3" t="n">
        <v>45.71</v>
      </c>
      <c r="D1097" s="3" t="n">
        <v>75.58</v>
      </c>
      <c r="E1097" s="3" t="n">
        <v>13.64</v>
      </c>
      <c r="F1097" s="3" t="n">
        <v>34.65</v>
      </c>
      <c r="G1097" s="3" t="n">
        <v>14.38</v>
      </c>
      <c r="H1097" s="3" t="n">
        <v>13.42</v>
      </c>
      <c r="I1097" s="3" t="n">
        <v>15.37</v>
      </c>
      <c r="J1097" s="3" t="n">
        <v>159.6</v>
      </c>
    </row>
    <row r="1098">
      <c r="A1098" s="8" t="n">
        <v>46031</v>
      </c>
      <c r="B1098" s="3" t="n">
        <v>14.83</v>
      </c>
      <c r="C1098" s="3" t="n">
        <v>46.1</v>
      </c>
      <c r="D1098" s="3" t="n">
        <v>74.72</v>
      </c>
      <c r="E1098" s="3" t="n">
        <v>13.9</v>
      </c>
      <c r="F1098" s="3" t="n">
        <v>34.99</v>
      </c>
      <c r="G1098" s="3" t="n">
        <v>14.46</v>
      </c>
      <c r="H1098" s="3" t="n">
        <v>13.3</v>
      </c>
      <c r="I1098" s="3" t="n">
        <v>15.25</v>
      </c>
      <c r="J1098" s="3" t="n">
        <v>160.1</v>
      </c>
    </row>
    <row r="1099">
      <c r="A1099" s="8" t="n">
        <v>46034</v>
      </c>
      <c r="B1099" s="3" t="n">
        <v>14.89</v>
      </c>
      <c r="C1099" s="3" t="n">
        <v>46.75</v>
      </c>
      <c r="D1099" s="3" t="n">
        <v>74.73999999999999</v>
      </c>
      <c r="E1099" s="3" t="n">
        <v>13.9</v>
      </c>
      <c r="F1099" s="3" t="n">
        <v>34.8</v>
      </c>
      <c r="G1099" s="3" t="n">
        <v>14.49</v>
      </c>
      <c r="H1099" s="3" t="n">
        <v>13.41</v>
      </c>
      <c r="I1099" s="3" t="n">
        <v>15.26</v>
      </c>
      <c r="J1099" s="3" t="n">
        <v>160.15</v>
      </c>
    </row>
    <row r="1100">
      <c r="A1100" s="8" t="n">
        <v>46035</v>
      </c>
      <c r="B1100" s="3" t="n">
        <v>14.31</v>
      </c>
      <c r="C1100" s="3" t="n">
        <v>46.4</v>
      </c>
      <c r="D1100" s="3" t="n">
        <v>75.34999999999999</v>
      </c>
      <c r="E1100" s="3" t="n">
        <v>13.91</v>
      </c>
      <c r="F1100" s="3" t="n">
        <v>34.69</v>
      </c>
      <c r="G1100" s="3" t="n">
        <v>14.31</v>
      </c>
      <c r="H1100" s="3" t="n">
        <v>13.24</v>
      </c>
      <c r="I1100" s="3" t="n">
        <v>13.98</v>
      </c>
      <c r="J1100" s="3" t="n">
        <v>159.07</v>
      </c>
    </row>
    <row r="1101">
      <c r="A1101" s="8" t="n">
        <v>46036</v>
      </c>
      <c r="B1101" s="3" t="n">
        <v>13.7</v>
      </c>
      <c r="C1101" s="3" t="n">
        <v>47.01</v>
      </c>
      <c r="D1101" s="3" t="n">
        <v>78.92</v>
      </c>
      <c r="E1101" s="3" t="n">
        <v>14.2</v>
      </c>
      <c r="F1101" s="3" t="n">
        <v>34.82</v>
      </c>
      <c r="G1101" s="3" t="n">
        <v>14.73</v>
      </c>
      <c r="H1101" s="3" t="n">
        <v>13.52</v>
      </c>
      <c r="I1101" s="3" t="n">
        <v>13.89</v>
      </c>
      <c r="J1101" s="3" t="n">
        <v>162.24</v>
      </c>
    </row>
    <row r="1102">
      <c r="A1102" s="8" t="n">
        <v>46037</v>
      </c>
      <c r="B1102" s="3" t="n">
        <v>13.73</v>
      </c>
      <c r="C1102" s="3" t="n">
        <v>46.44</v>
      </c>
      <c r="D1102" s="3" t="n">
        <v>78.84999999999999</v>
      </c>
      <c r="E1102" s="3" t="n">
        <v>14.04</v>
      </c>
      <c r="F1102" s="3" t="n">
        <v>34.91</v>
      </c>
      <c r="G1102" s="3" t="n">
        <v>15.12</v>
      </c>
      <c r="H1102" s="3" t="n">
        <v>13.51</v>
      </c>
      <c r="I1102" s="3" t="n">
        <v>13.25</v>
      </c>
      <c r="J1102" s="3" t="n">
        <v>162.55</v>
      </c>
    </row>
    <row r="1103">
      <c r="A1103" s="8" t="n">
        <v>46038</v>
      </c>
      <c r="B1103" s="3" t="n">
        <v>13.6</v>
      </c>
      <c r="C1103" s="3" t="n">
        <v>46.32</v>
      </c>
      <c r="D1103" s="3" t="n">
        <v>78.88</v>
      </c>
      <c r="E1103" s="3" t="n">
        <v>14.1</v>
      </c>
      <c r="F1103" s="3" t="n">
        <v>35.12</v>
      </c>
      <c r="G1103" s="3" t="n">
        <v>15.24</v>
      </c>
      <c r="H1103" s="3" t="n">
        <v>13.33</v>
      </c>
      <c r="I1103" s="3" t="n">
        <v>12.99</v>
      </c>
      <c r="J1103" s="3" t="n">
        <v>161.57</v>
      </c>
    </row>
    <row r="1104">
      <c r="A1104" s="8" t="n">
        <v>46041</v>
      </c>
      <c r="B1104" s="3" t="n">
        <v>13.54</v>
      </c>
      <c r="C1104" s="3" t="n">
        <v>46.22</v>
      </c>
      <c r="D1104" s="3" t="n">
        <v>78.56999999999999</v>
      </c>
      <c r="E1104" s="3" t="n">
        <v>14.09</v>
      </c>
      <c r="F1104" s="3" t="n">
        <v>35.28</v>
      </c>
      <c r="G1104" s="3" t="n">
        <v>15.1</v>
      </c>
      <c r="H1104" s="3" t="n">
        <v>13.39</v>
      </c>
      <c r="I1104" s="3" t="n">
        <v>13.49</v>
      </c>
      <c r="J1104" s="3" t="n">
        <v>161.94</v>
      </c>
    </row>
    <row r="1105">
      <c r="A1105" s="8" t="n">
        <v>46042</v>
      </c>
      <c r="B1105" s="3" t="n">
        <v>13.4</v>
      </c>
      <c r="C1105" s="3" t="n">
        <v>46.43</v>
      </c>
      <c r="D1105" s="3" t="n">
        <v>80.08</v>
      </c>
      <c r="E1105" s="3" t="n">
        <v>14.07</v>
      </c>
      <c r="F1105" s="3" t="n">
        <v>35.59</v>
      </c>
      <c r="G1105" s="3" t="n">
        <v>14.67</v>
      </c>
      <c r="H1105" s="3" t="n">
        <v>13.62</v>
      </c>
      <c r="I1105" s="3" t="n">
        <v>13.23</v>
      </c>
      <c r="J1105" s="3" t="n">
        <v>162.92</v>
      </c>
    </row>
    <row r="1106">
      <c r="A1106" s="8" t="n">
        <v>46043</v>
      </c>
      <c r="B1106" s="3" t="n">
        <v>14.05</v>
      </c>
      <c r="C1106" s="3" t="n">
        <v>47.59</v>
      </c>
      <c r="D1106" s="3" t="n">
        <v>82.5</v>
      </c>
      <c r="E1106" s="3" t="n">
        <v>14.31</v>
      </c>
      <c r="F1106" s="3" t="n">
        <v>36.19</v>
      </c>
      <c r="G1106" s="3" t="n">
        <v>15.5</v>
      </c>
      <c r="H1106" s="3" t="n">
        <v>14.49</v>
      </c>
      <c r="I1106" s="3" t="n">
        <v>13.88</v>
      </c>
      <c r="J1106" s="3" t="n">
        <v>168.95</v>
      </c>
    </row>
    <row r="1107">
      <c r="A1107" s="8" t="n">
        <v>46044</v>
      </c>
      <c r="B1107" s="3" t="n">
        <v>14.22</v>
      </c>
      <c r="C1107" s="3" t="n">
        <v>49.23</v>
      </c>
      <c r="D1107" s="3" t="n">
        <v>82.98</v>
      </c>
      <c r="E1107" s="3" t="n">
        <v>14.59</v>
      </c>
      <c r="F1107" s="3" t="n">
        <v>37.29</v>
      </c>
      <c r="G1107" s="3" t="n">
        <v>15.62</v>
      </c>
      <c r="H1107" s="3" t="n">
        <v>14.95</v>
      </c>
      <c r="I1107" s="3" t="n">
        <v>13.79</v>
      </c>
      <c r="J1107" s="3" t="n">
        <v>172.74</v>
      </c>
    </row>
    <row r="1108">
      <c r="A1108" s="8" t="n">
        <v>46045</v>
      </c>
      <c r="B1108" s="3" t="n">
        <v>14.81</v>
      </c>
      <c r="C1108" s="3" t="n">
        <v>49.87</v>
      </c>
      <c r="D1108" s="3" t="n">
        <v>85.02</v>
      </c>
      <c r="E1108" s="3" t="n">
        <v>14.9</v>
      </c>
      <c r="F1108" s="3" t="n">
        <v>36.99</v>
      </c>
      <c r="G1108" s="3" t="n">
        <v>15.82</v>
      </c>
      <c r="H1108" s="3" t="n">
        <v>14.85</v>
      </c>
      <c r="I1108" s="3" t="n">
        <v>13.74</v>
      </c>
      <c r="J1108" s="3" t="n">
        <v>175.7</v>
      </c>
    </row>
    <row r="1109">
      <c r="A1109" s="8" t="n">
        <v>46048</v>
      </c>
      <c r="B1109" s="3" t="n">
        <v>14.85</v>
      </c>
      <c r="C1109" s="3" t="n">
        <v>51.61</v>
      </c>
      <c r="D1109" s="3" t="n">
        <v>83.06999999999999</v>
      </c>
      <c r="E1109" s="3" t="n">
        <v>15.05</v>
      </c>
      <c r="F1109" s="3" t="n">
        <v>37.07</v>
      </c>
      <c r="G1109" s="3" t="n">
        <v>15.68</v>
      </c>
      <c r="H1109" s="3" t="n">
        <v>14.75</v>
      </c>
      <c r="I1109" s="3" t="n">
        <v>13.59</v>
      </c>
      <c r="J1109" s="3" t="n">
        <v>175.3</v>
      </c>
    </row>
    <row r="1110">
      <c r="A1110" s="8" t="n">
        <v>46049</v>
      </c>
      <c r="B1110" s="3" t="n">
        <v>15.05</v>
      </c>
      <c r="C1110" s="3" t="n">
        <v>52.7</v>
      </c>
      <c r="D1110" s="3" t="n">
        <v>84.90000000000001</v>
      </c>
      <c r="E1110" s="3" t="n">
        <v>14.87</v>
      </c>
      <c r="F1110" s="3" t="n">
        <v>36.97</v>
      </c>
      <c r="G1110" s="3" t="n">
        <v>16.16</v>
      </c>
      <c r="H1110" s="3" t="n">
        <v>15.23</v>
      </c>
      <c r="I1110" s="3" t="n">
        <v>13.87</v>
      </c>
      <c r="J1110" s="3" t="n">
        <v>178.23</v>
      </c>
    </row>
    <row r="1111">
      <c r="A1111" s="8" t="n">
        <v>46050</v>
      </c>
      <c r="B1111" s="3" t="n">
        <v>15.15</v>
      </c>
      <c r="C1111" s="3" t="n">
        <v>51.57</v>
      </c>
      <c r="D1111" s="3" t="n">
        <v>86.97</v>
      </c>
      <c r="E1111" s="3" t="n">
        <v>14.95</v>
      </c>
      <c r="F1111" s="3" t="n">
        <v>37.78</v>
      </c>
      <c r="G1111" s="3" t="n">
        <v>16.51</v>
      </c>
      <c r="H1111" s="3" t="n">
        <v>15.55</v>
      </c>
      <c r="I1111" s="3" t="n">
        <v>13.75</v>
      </c>
      <c r="J1111" s="3" t="n">
        <v>181.4</v>
      </c>
    </row>
    <row r="1112">
      <c r="A1112" s="8" t="n">
        <v>46051</v>
      </c>
      <c r="B1112" s="3" t="n">
        <v>14.88</v>
      </c>
      <c r="C1112" s="3" t="n">
        <v>52.07</v>
      </c>
      <c r="D1112" s="3" t="n">
        <v>87.41</v>
      </c>
      <c r="E1112" s="3" t="n">
        <v>14.76</v>
      </c>
      <c r="F1112" s="3" t="n">
        <v>37.54</v>
      </c>
      <c r="G1112" s="3" t="n">
        <v>16.68</v>
      </c>
      <c r="H1112" s="3" t="n">
        <v>15.3</v>
      </c>
      <c r="I1112" s="3" t="n">
        <v>13.43</v>
      </c>
      <c r="J1112" s="3" t="n">
        <v>179.65</v>
      </c>
    </row>
    <row r="1113">
      <c r="A1113" s="8" t="n">
        <v>46052</v>
      </c>
      <c r="B1113" s="3" t="n">
        <v>14.76</v>
      </c>
      <c r="C1113" s="3" t="n">
        <v>51.72</v>
      </c>
      <c r="D1113" s="3" t="n">
        <v>84.31999999999999</v>
      </c>
      <c r="E1113" s="3" t="n">
        <v>14.85</v>
      </c>
      <c r="F1113" s="3" t="n">
        <v>37.31</v>
      </c>
      <c r="G1113" s="3" t="n">
        <v>16.15</v>
      </c>
      <c r="H1113" s="3" t="n">
        <v>14.93</v>
      </c>
      <c r="I1113" s="3" t="n">
        <v>13</v>
      </c>
      <c r="J1113" s="3" t="n">
        <v>178.2</v>
      </c>
    </row>
    <row r="1114">
      <c r="A1114" s="8" t="n">
        <v>46055</v>
      </c>
      <c r="B1114" s="3" t="n">
        <v>14.75</v>
      </c>
      <c r="C1114" s="3" t="n">
        <v>51.95</v>
      </c>
      <c r="D1114" s="3" t="n">
        <v>84.81999999999999</v>
      </c>
      <c r="E1114" s="3" t="n">
        <v>15.06</v>
      </c>
      <c r="F1114" s="3" t="n">
        <v>38.1</v>
      </c>
      <c r="G1114" s="3" t="n">
        <v>16.35</v>
      </c>
      <c r="H1114" s="3" t="n">
        <v>15.05</v>
      </c>
      <c r="I1114" s="3" t="n">
        <v>12.74</v>
      </c>
      <c r="J1114" s="3" t="n">
        <v>179.2</v>
      </c>
    </row>
    <row r="1115">
      <c r="A1115" s="8" t="n">
        <v>46056</v>
      </c>
      <c r="B1115" s="3" t="n">
        <v>15.07</v>
      </c>
      <c r="C1115" s="3" t="n">
        <v>54</v>
      </c>
      <c r="D1115" s="3" t="n">
        <v>88.98999999999999</v>
      </c>
      <c r="E1115" s="3" t="n">
        <v>15.38</v>
      </c>
      <c r="F1115" s="3" t="n">
        <v>38.29</v>
      </c>
      <c r="G1115" s="3" t="n">
        <v>16.45</v>
      </c>
      <c r="H1115" s="3" t="n">
        <v>15.59</v>
      </c>
      <c r="I1115" s="3" t="n">
        <v>12.8</v>
      </c>
      <c r="J1115" s="3" t="n">
        <v>182.19</v>
      </c>
    </row>
    <row r="1116">
      <c r="A1116" s="8" t="n">
        <v>46057</v>
      </c>
      <c r="B1116" s="3" t="n">
        <v>15.27</v>
      </c>
      <c r="C1116" s="3" t="n">
        <v>51.4</v>
      </c>
      <c r="D1116" s="3" t="n">
        <v>89.43000000000001</v>
      </c>
      <c r="E1116" s="3" t="n">
        <v>15.3</v>
      </c>
      <c r="F1116" s="3" t="n">
        <v>37.15</v>
      </c>
      <c r="G1116" s="3" t="n">
        <v>15.77</v>
      </c>
      <c r="H1116" s="3" t="n">
        <v>15.2</v>
      </c>
      <c r="I1116" s="3" t="n">
        <v>12.46</v>
      </c>
      <c r="J1116" s="3" t="n">
        <v>178.2</v>
      </c>
    </row>
    <row r="1117">
      <c r="A1117" s="8" t="n">
        <v>46058</v>
      </c>
      <c r="B1117" s="3" t="n">
        <v>15.19</v>
      </c>
      <c r="C1117" s="3" t="n">
        <v>52.21</v>
      </c>
      <c r="D1117" s="3" t="n">
        <v>86.45</v>
      </c>
      <c r="E1117" s="3" t="n">
        <v>15.48</v>
      </c>
      <c r="F1117" s="3" t="n">
        <v>37.21</v>
      </c>
      <c r="G1117" s="3" t="n">
        <v>16.26</v>
      </c>
      <c r="H1117" s="3" t="n">
        <v>15.2</v>
      </c>
      <c r="I1117" s="3" t="n">
        <v>12.05</v>
      </c>
      <c r="J1117" s="3" t="n">
        <v>178.65</v>
      </c>
    </row>
    <row r="1118">
      <c r="A1118" s="8" t="n">
        <v>46059</v>
      </c>
      <c r="B1118" s="3" t="n">
        <v>15.25</v>
      </c>
      <c r="C1118" s="3" t="n">
        <v>51.85</v>
      </c>
      <c r="D1118" s="3" t="n">
        <v>85.63</v>
      </c>
      <c r="E1118" s="3" t="n">
        <v>15.42</v>
      </c>
      <c r="F1118" s="3" t="n">
        <v>37.23</v>
      </c>
      <c r="G1118" s="3" t="n">
        <v>17.04</v>
      </c>
      <c r="H1118" s="3" t="n">
        <v>15.5</v>
      </c>
      <c r="I1118" s="3" t="n">
        <v>11.77</v>
      </c>
      <c r="J1118" s="3" t="n">
        <v>179.24</v>
      </c>
    </row>
    <row r="1119">
      <c r="A1119" s="8" t="n">
        <v>46062</v>
      </c>
      <c r="B1119" s="3" t="n">
        <v>15.47</v>
      </c>
      <c r="C1119" s="3" t="n">
        <v>53.75</v>
      </c>
      <c r="D1119" s="3" t="n">
        <v>87.31</v>
      </c>
      <c r="E1119" s="3" t="n">
        <v>15.39</v>
      </c>
      <c r="F1119" s="3" t="n">
        <v>37.36</v>
      </c>
      <c r="G1119" s="3" t="n">
        <v>17.62</v>
      </c>
      <c r="H1119" s="3" t="n">
        <v>15.42</v>
      </c>
      <c r="I1119" s="3" t="n">
        <v>11.45</v>
      </c>
      <c r="J1119" s="3" t="n">
        <v>182.79</v>
      </c>
    </row>
    <row r="1120">
      <c r="A1120" s="8" t="n">
        <v>46063</v>
      </c>
      <c r="B1120" s="3" t="n">
        <v>15.9</v>
      </c>
      <c r="C1120" s="3" t="n">
        <v>52.4</v>
      </c>
      <c r="D1120" s="3" t="n">
        <v>87.05</v>
      </c>
      <c r="E1120" s="3" t="n">
        <v>15.66</v>
      </c>
      <c r="F1120" s="3" t="n">
        <v>38.22</v>
      </c>
      <c r="G1120" s="3" t="n">
        <v>17.45</v>
      </c>
      <c r="H1120" s="3" t="n">
        <v>15.07</v>
      </c>
      <c r="I1120" s="3" t="n">
        <v>11.33</v>
      </c>
      <c r="J1120" s="3" t="n">
        <v>182.4</v>
      </c>
    </row>
    <row r="1121">
      <c r="A1121" s="8" t="n">
        <v>46064</v>
      </c>
      <c r="B1121" s="3" t="n">
        <v>16.45</v>
      </c>
      <c r="C1121" s="3" t="n">
        <v>53.59</v>
      </c>
      <c r="D1121" s="3" t="n">
        <v>90.09</v>
      </c>
      <c r="E1121" s="3" t="n">
        <v>15.77</v>
      </c>
      <c r="F1121" s="3" t="n">
        <v>38.95</v>
      </c>
      <c r="G1121" s="3" t="n">
        <v>17.29</v>
      </c>
      <c r="H1121" s="3" t="n">
        <v>15.27</v>
      </c>
      <c r="I1121" s="3" t="n">
        <v>11.19</v>
      </c>
      <c r="J1121" s="3" t="n">
        <v>185.99</v>
      </c>
    </row>
    <row r="1122">
      <c r="A1122" s="8" t="n">
        <v>46065</v>
      </c>
      <c r="B1122" s="3" t="n">
        <v>16.29</v>
      </c>
      <c r="C1122" s="3" t="n">
        <v>54.03</v>
      </c>
      <c r="D1122" s="3" t="n">
        <v>89.23</v>
      </c>
      <c r="E1122" s="3" t="n">
        <v>16.52</v>
      </c>
      <c r="F1122" s="3" t="n">
        <v>37.76</v>
      </c>
      <c r="G1122" s="3" t="n">
        <v>17.36</v>
      </c>
      <c r="H1122" s="3" t="n">
        <v>15.09</v>
      </c>
      <c r="I1122" s="3" t="n">
        <v>10.72</v>
      </c>
      <c r="J1122" s="3" t="n">
        <v>184.28</v>
      </c>
    </row>
    <row r="1123">
      <c r="A1123" s="8" t="n">
        <v>46066</v>
      </c>
      <c r="B1123" s="3" t="n">
        <v>16.24</v>
      </c>
      <c r="C1123" s="3" t="n">
        <v>53.8</v>
      </c>
      <c r="D1123" s="3" t="n">
        <v>87.03</v>
      </c>
      <c r="E1123" s="3" t="n">
        <v>16.35</v>
      </c>
      <c r="F1123" s="3" t="n">
        <v>33.82</v>
      </c>
      <c r="G1123" s="3" t="n">
        <v>17.46</v>
      </c>
      <c r="H1123" s="3" t="n">
        <v>15.35</v>
      </c>
      <c r="I1123" s="3" t="n">
        <v>10.4</v>
      </c>
      <c r="J1123" s="3" t="n">
        <v>182.98</v>
      </c>
    </row>
    <row r="1124">
      <c r="A1124" s="8" t="n">
        <v>46071</v>
      </c>
      <c r="B1124" s="3" t="n">
        <v>16.1</v>
      </c>
      <c r="C1124" s="3" t="n">
        <v>53.39</v>
      </c>
      <c r="D1124" s="3" t="n">
        <v>83.92</v>
      </c>
      <c r="E1124" s="3" t="n">
        <v>16.13</v>
      </c>
      <c r="F1124" s="3" t="n">
        <v>33.49</v>
      </c>
      <c r="G1124" s="3" t="n">
        <v>17.61</v>
      </c>
      <c r="H1124" s="3" t="n">
        <v>15.5</v>
      </c>
      <c r="I1124" s="3" t="n">
        <v>10.12</v>
      </c>
      <c r="J1124" s="3" t="n">
        <v>182.43</v>
      </c>
    </row>
    <row r="1125">
      <c r="A1125" s="8" t="n">
        <v>46072</v>
      </c>
      <c r="B1125" s="3" t="n">
        <v>16.45</v>
      </c>
      <c r="C1125" s="3" t="n">
        <v>51.37</v>
      </c>
      <c r="D1125" s="3" t="n">
        <v>84.09</v>
      </c>
      <c r="E1125" s="3" t="n">
        <v>16.17</v>
      </c>
      <c r="F1125" s="3" t="n">
        <v>33.58</v>
      </c>
      <c r="G1125" s="3" t="n">
        <v>17.75</v>
      </c>
      <c r="H1125" s="3" t="n">
        <v>15.59</v>
      </c>
      <c r="I1125" s="3" t="n">
        <v>10.79</v>
      </c>
      <c r="J1125" s="3" t="n">
        <v>184.99</v>
      </c>
    </row>
    <row r="1126">
      <c r="A1126" s="8" t="n">
        <v>46073</v>
      </c>
      <c r="B1126" s="3" t="n">
        <v>16.51</v>
      </c>
      <c r="C1126" s="3" t="n">
        <v>51.99</v>
      </c>
      <c r="D1126" s="3" t="n">
        <v>86.81</v>
      </c>
      <c r="E1126" s="3" t="n">
        <v>16.03</v>
      </c>
      <c r="F1126" s="3" t="n">
        <v>34.05</v>
      </c>
      <c r="G1126" s="3" t="n">
        <v>18.08</v>
      </c>
      <c r="H1126" s="3" t="n">
        <v>15.6</v>
      </c>
      <c r="I1126" s="3" t="n">
        <v>10.5</v>
      </c>
      <c r="J1126" s="3" t="n">
        <v>186.69</v>
      </c>
    </row>
    <row r="1127">
      <c r="A1127" s="8" t="n">
        <v>46076</v>
      </c>
      <c r="B1127" s="3" t="n">
        <v>16.69</v>
      </c>
      <c r="C1127" s="3" t="n">
        <v>51.97</v>
      </c>
      <c r="D1127" s="3" t="n">
        <v>87.39</v>
      </c>
      <c r="E1127" s="3" t="n">
        <v>16.19</v>
      </c>
      <c r="F1127" s="3" t="n">
        <v>34.11</v>
      </c>
      <c r="G1127" s="3" t="n">
        <v>17.86</v>
      </c>
      <c r="H1127" s="3" t="n">
        <v>15.53</v>
      </c>
      <c r="I1127" s="3" t="n">
        <v>9.970000000000001</v>
      </c>
      <c r="J1127" s="3" t="n">
        <v>185.17</v>
      </c>
    </row>
    <row r="1128">
      <c r="A1128" s="8" t="n">
        <v>46077</v>
      </c>
      <c r="B1128" s="3" t="n">
        <v>17.16</v>
      </c>
      <c r="C1128" s="3" t="n">
        <v>51.41</v>
      </c>
      <c r="D1128" s="3" t="n">
        <v>87.73</v>
      </c>
      <c r="E1128" s="3" t="n">
        <v>16.58</v>
      </c>
      <c r="F1128" s="3" t="n">
        <v>34.84</v>
      </c>
      <c r="G1128" s="3" t="n">
        <v>18.22</v>
      </c>
      <c r="H1128" s="3" t="n">
        <v>15.88</v>
      </c>
      <c r="I1128" s="3" t="n">
        <v>10.49</v>
      </c>
      <c r="J1128" s="3" t="n">
        <v>187.78</v>
      </c>
    </row>
    <row r="1129">
      <c r="A1129" s="8" t="n">
        <v>46078</v>
      </c>
      <c r="B1129" s="3" t="n">
        <v>16.67</v>
      </c>
      <c r="C1129" s="3" t="n">
        <v>50.28</v>
      </c>
      <c r="D1129" s="3" t="n">
        <v>89.97</v>
      </c>
      <c r="E1129" s="3" t="n">
        <v>16.44</v>
      </c>
      <c r="F1129" s="3" t="n">
        <v>35.01</v>
      </c>
      <c r="G1129" s="3" t="n">
        <v>18.14</v>
      </c>
      <c r="H1129" s="3" t="n">
        <v>15.78</v>
      </c>
      <c r="I1129" s="3" t="n">
        <v>10.26</v>
      </c>
      <c r="J1129" s="3" t="n">
        <v>187.46</v>
      </c>
    </row>
    <row r="1130">
      <c r="A1130" s="8" t="n">
        <v>46079</v>
      </c>
      <c r="B1130" s="3" t="n">
        <v>16.63</v>
      </c>
      <c r="C1130" s="3" t="n">
        <v>49.38</v>
      </c>
      <c r="D1130" s="3" t="n">
        <v>89.20999999999999</v>
      </c>
      <c r="E1130" s="3" t="n">
        <v>16.41</v>
      </c>
      <c r="F1130" s="3" t="n">
        <v>35.11</v>
      </c>
      <c r="G1130" s="3" t="n">
        <v>17.95</v>
      </c>
      <c r="H1130" s="3" t="n">
        <v>16.05</v>
      </c>
      <c r="I1130" s="3" t="n">
        <v>10.75</v>
      </c>
      <c r="J1130" s="3" t="n">
        <v>187.35</v>
      </c>
    </row>
    <row r="1131">
      <c r="A1131" s="8" t="n">
        <v>46080</v>
      </c>
      <c r="B1131" s="3" t="n">
        <v>15.97</v>
      </c>
      <c r="C1131" s="3" t="n">
        <v>49.7</v>
      </c>
      <c r="D1131" s="3" t="n">
        <v>88.47</v>
      </c>
      <c r="E1131" s="3" t="n">
        <v>16.27</v>
      </c>
      <c r="F1131" s="3" t="n">
        <v>34.68</v>
      </c>
      <c r="G1131" s="3" t="n">
        <v>17.9</v>
      </c>
      <c r="H1131" s="3" t="n">
        <v>15.58</v>
      </c>
      <c r="I1131" s="3" t="n">
        <v>10.49</v>
      </c>
      <c r="J1131" s="3" t="n">
        <v>185.16</v>
      </c>
    </row>
    <row r="1132">
      <c r="A1132" s="8" t="n">
        <v>46083</v>
      </c>
      <c r="B1132" s="3" t="n">
        <v>15.75</v>
      </c>
      <c r="C1132" s="3" t="n">
        <v>48.69</v>
      </c>
      <c r="D1132" s="3" t="n">
        <v>88.16</v>
      </c>
      <c r="E1132" s="3" t="n">
        <v>15.91</v>
      </c>
      <c r="F1132" s="3" t="n">
        <v>34.75</v>
      </c>
      <c r="G1132" s="3" t="n">
        <v>18.49</v>
      </c>
      <c r="H1132" s="3" t="n">
        <v>15.52</v>
      </c>
      <c r="I1132" s="3" t="n">
        <v>10.36</v>
      </c>
      <c r="J1132" s="3" t="n">
        <v>185.5</v>
      </c>
    </row>
    <row r="1133">
      <c r="A1133" s="8" t="n">
        <v>46084</v>
      </c>
      <c r="B1133" s="3" t="n">
        <v>15.47</v>
      </c>
      <c r="C1133" s="3" t="n">
        <v>47.4</v>
      </c>
      <c r="D1133" s="3" t="n">
        <v>84.48</v>
      </c>
      <c r="E1133" s="3" t="n">
        <v>15.57</v>
      </c>
      <c r="F1133" s="3" t="n">
        <v>34.4</v>
      </c>
      <c r="G1133" s="3" t="n">
        <v>17.54</v>
      </c>
      <c r="H1133" s="3" t="n">
        <v>14.96</v>
      </c>
      <c r="I1133" s="3" t="n">
        <v>10.01</v>
      </c>
      <c r="J1133" s="3" t="n">
        <v>179.3</v>
      </c>
    </row>
    <row r="1134">
      <c r="A1134" s="8" t="n">
        <v>46085</v>
      </c>
      <c r="B1134" s="3" t="n">
        <v>15.72</v>
      </c>
      <c r="C1134" s="3" t="n">
        <v>47.34</v>
      </c>
      <c r="D1134" s="3" t="n">
        <v>84.09</v>
      </c>
      <c r="E1134" s="3" t="n">
        <v>15.6</v>
      </c>
      <c r="F1134" s="3" t="n">
        <v>34.37</v>
      </c>
      <c r="G1134" s="3" t="n">
        <v>18.16</v>
      </c>
      <c r="H1134" s="3" t="n">
        <v>15.16</v>
      </c>
      <c r="I1134" s="3" t="n">
        <v>9.960000000000001</v>
      </c>
      <c r="J1134" s="3" t="n">
        <v>181.6</v>
      </c>
    </row>
    <row r="1135">
      <c r="A1135" s="8" t="n">
        <v>46086</v>
      </c>
      <c r="B1135" s="3" t="n">
        <v>15.62</v>
      </c>
      <c r="C1135" s="3" t="n">
        <v>46.71</v>
      </c>
      <c r="D1135" s="3" t="n">
        <v>81.29000000000001</v>
      </c>
      <c r="E1135" s="3" t="n">
        <v>15.29</v>
      </c>
      <c r="F1135" s="3" t="n">
        <v>33.72</v>
      </c>
      <c r="G1135" s="3" t="n">
        <v>17.56</v>
      </c>
      <c r="H1135" s="3" t="n">
        <v>14.72</v>
      </c>
      <c r="I1135" s="3" t="n">
        <v>9.6</v>
      </c>
      <c r="J1135" s="3" t="n">
        <v>176.75</v>
      </c>
    </row>
    <row r="1136">
      <c r="A1136" s="8" t="n">
        <v>46087</v>
      </c>
      <c r="B1136" s="3" t="n">
        <v>15.48</v>
      </c>
      <c r="C1136" s="3" t="n">
        <v>46.62</v>
      </c>
      <c r="D1136" s="3" t="n">
        <v>78.86</v>
      </c>
      <c r="E1136" s="3" t="n">
        <v>15.23</v>
      </c>
      <c r="F1136" s="3" t="n">
        <v>34.2</v>
      </c>
      <c r="G1136" s="3" t="n">
        <v>17.24</v>
      </c>
      <c r="H1136" s="3" t="n">
        <v>14.77</v>
      </c>
      <c r="I1136" s="3" t="n">
        <v>9.58</v>
      </c>
      <c r="J1136" s="3" t="n">
        <v>175.89</v>
      </c>
    </row>
    <row r="1137">
      <c r="A1137" s="8" t="n">
        <v>46090</v>
      </c>
      <c r="B1137" s="3" t="n">
        <v>15.94</v>
      </c>
      <c r="C1137" s="3" t="n">
        <v>46.58</v>
      </c>
      <c r="D1137" s="3" t="n">
        <v>79.26000000000001</v>
      </c>
      <c r="E1137" s="3" t="n">
        <v>15.41</v>
      </c>
      <c r="F1137" s="3" t="n">
        <v>34.1</v>
      </c>
      <c r="G1137" s="3" t="n">
        <v>17.32</v>
      </c>
      <c r="H1137" s="3" t="n">
        <v>14.57</v>
      </c>
      <c r="I1137" s="3" t="n">
        <v>9.42</v>
      </c>
      <c r="J1137" s="3" t="n">
        <v>177.26</v>
      </c>
    </row>
    <row r="1138">
      <c r="A1138" s="8" t="n">
        <v>46091</v>
      </c>
      <c r="B1138" s="3" t="n">
        <v>17.05</v>
      </c>
      <c r="C1138" s="3" t="n">
        <v>47.19</v>
      </c>
      <c r="D1138" s="3" t="n">
        <v>80.56</v>
      </c>
      <c r="E1138" s="3" t="n">
        <v>15.45</v>
      </c>
      <c r="F1138" s="3" t="n">
        <v>34.51</v>
      </c>
      <c r="G1138" s="3" t="n">
        <v>18.11</v>
      </c>
      <c r="H1138" s="3" t="n">
        <v>15.22</v>
      </c>
      <c r="I1138" s="3" t="n">
        <v>9.52</v>
      </c>
      <c r="J1138" s="3" t="n">
        <v>179.75</v>
      </c>
    </row>
    <row r="1139">
      <c r="A1139" s="8" t="n">
        <v>46092</v>
      </c>
      <c r="B1139" s="3" t="n">
        <v>17.1</v>
      </c>
      <c r="C1139" s="3" t="n">
        <v>46.88</v>
      </c>
      <c r="D1139" s="3" t="n">
        <v>79.84999999999999</v>
      </c>
      <c r="E1139" s="3" t="n">
        <v>15.43</v>
      </c>
      <c r="F1139" s="3" t="n">
        <v>34.66</v>
      </c>
      <c r="G1139" s="3" t="n">
        <v>17.99</v>
      </c>
      <c r="H1139" s="3" t="n">
        <v>15.68</v>
      </c>
      <c r="I1139" s="3" t="n">
        <v>9.58</v>
      </c>
      <c r="J1139" s="3" t="n">
        <v>180.21</v>
      </c>
    </row>
    <row r="1140">
      <c r="A1140" s="8" t="n">
        <v>46093</v>
      </c>
      <c r="B1140" s="3" t="n">
        <v>16.48</v>
      </c>
      <c r="C1140" s="3" t="n">
        <v>45.82</v>
      </c>
      <c r="D1140" s="3" t="n">
        <v>79.23999999999999</v>
      </c>
      <c r="E1140" s="3" t="n">
        <v>14.95</v>
      </c>
      <c r="F1140" s="3" t="n">
        <v>34.37</v>
      </c>
      <c r="G1140" s="3" t="n">
        <v>17.14</v>
      </c>
      <c r="H1140" s="3" t="n">
        <v>15.02</v>
      </c>
      <c r="I1140" s="3" t="n">
        <v>9.24</v>
      </c>
      <c r="J1140" s="3" t="n">
        <v>175.85</v>
      </c>
    </row>
    <row r="1141">
      <c r="A1141" s="8" t="n">
        <v>46094</v>
      </c>
      <c r="B1141" s="3" t="n">
        <v>16.26</v>
      </c>
      <c r="C1141" s="3" t="n">
        <v>46.21</v>
      </c>
      <c r="D1141" s="3" t="n">
        <v>78.3</v>
      </c>
      <c r="E1141" s="3" t="n">
        <v>15</v>
      </c>
      <c r="F1141" s="3" t="n">
        <v>35.05</v>
      </c>
      <c r="G1141" s="3" t="n">
        <v>16.88</v>
      </c>
      <c r="H1141" s="3" t="n">
        <v>15.06</v>
      </c>
      <c r="I1141" s="3" t="n">
        <v>8.67</v>
      </c>
      <c r="J1141" s="3" t="n">
        <v>174.55</v>
      </c>
    </row>
    <row r="1142">
      <c r="A1142" s="8" t="n">
        <v>46097</v>
      </c>
      <c r="B1142" s="3" t="n">
        <v>16.4</v>
      </c>
      <c r="C1142" s="3" t="n">
        <v>45.97</v>
      </c>
      <c r="D1142" s="3" t="n">
        <v>78.84</v>
      </c>
      <c r="E1142" s="3" t="n">
        <v>15.1</v>
      </c>
      <c r="F1142" s="3" t="n">
        <v>34.88</v>
      </c>
      <c r="G1142" s="3" t="n">
        <v>17.35</v>
      </c>
      <c r="H1142" s="3" t="n">
        <v>15.2</v>
      </c>
      <c r="I1142" s="3" t="n">
        <v>8.880000000000001</v>
      </c>
      <c r="J1142" s="3" t="n">
        <v>176.55</v>
      </c>
    </row>
    <row r="1143">
      <c r="A1143" s="8" t="n">
        <v>46098</v>
      </c>
      <c r="B1143" s="3" t="n">
        <v>16.31</v>
      </c>
      <c r="C1143" s="3" t="n">
        <v>46.2</v>
      </c>
      <c r="D1143" s="3" t="n">
        <v>78.95999999999999</v>
      </c>
      <c r="E1143" s="3" t="n">
        <v>15.02</v>
      </c>
      <c r="F1143" s="3" t="n">
        <v>34.92</v>
      </c>
      <c r="G1143" s="3" t="n">
        <v>17.6</v>
      </c>
      <c r="H1143" s="3" t="n">
        <v>15.12</v>
      </c>
      <c r="I1143" s="3" t="n">
        <v>8.619999999999999</v>
      </c>
      <c r="J1143" s="3" t="n">
        <v>176.83</v>
      </c>
    </row>
    <row r="1144">
      <c r="A1144" s="8" t="n">
        <v>46099</v>
      </c>
      <c r="B1144" s="3" t="n">
        <v>16.08</v>
      </c>
      <c r="C1144" s="3" t="n">
        <v>46.16</v>
      </c>
      <c r="D1144" s="3" t="n">
        <v>77.13</v>
      </c>
      <c r="E1144" s="3" t="n">
        <v>14.74</v>
      </c>
      <c r="F1144" s="3" t="n">
        <v>34.52</v>
      </c>
      <c r="G1144" s="3" t="n">
        <v>17.12</v>
      </c>
      <c r="H1144" s="3" t="n">
        <v>15.09</v>
      </c>
      <c r="I1144" s="3" t="n">
        <v>8.210000000000001</v>
      </c>
      <c r="J1144" s="3" t="n">
        <v>175.8</v>
      </c>
    </row>
    <row r="1145">
      <c r="A1145" s="8" t="n">
        <v>46100</v>
      </c>
      <c r="B1145" s="3" t="n">
        <v>16.19</v>
      </c>
      <c r="C1145" s="3" t="n">
        <v>46.59</v>
      </c>
      <c r="D1145" s="3" t="n">
        <v>76.63</v>
      </c>
      <c r="E1145" s="3" t="n">
        <v>14.77</v>
      </c>
      <c r="F1145" s="3" t="n">
        <v>34.66</v>
      </c>
      <c r="G1145" s="3" t="n">
        <v>16.92</v>
      </c>
      <c r="H1145" s="3" t="n">
        <v>15.15</v>
      </c>
      <c r="I1145" s="3" t="n">
        <v>9.44</v>
      </c>
      <c r="J1145" s="3" t="n">
        <v>177.15</v>
      </c>
    </row>
    <row r="1146">
      <c r="A1146" s="8" t="n">
        <v>46101</v>
      </c>
      <c r="B1146" s="3" t="n">
        <v>16.12</v>
      </c>
      <c r="C1146" s="3" t="n">
        <v>45.96</v>
      </c>
      <c r="D1146" s="3" t="n">
        <v>75.55</v>
      </c>
      <c r="E1146" s="3" t="n">
        <v>14.47</v>
      </c>
      <c r="F1146" s="3" t="n">
        <v>34.09</v>
      </c>
      <c r="G1146" s="3" t="n">
        <v>16.19</v>
      </c>
      <c r="H1146" s="3" t="n">
        <v>14.84</v>
      </c>
      <c r="I1146" s="3" t="n">
        <v>8.960000000000001</v>
      </c>
      <c r="J1146" s="3" t="n">
        <v>173.01</v>
      </c>
    </row>
    <row r="1147">
      <c r="A1147" s="8" t="n">
        <v>46104</v>
      </c>
      <c r="B1147" s="3" t="n">
        <v>16.85</v>
      </c>
      <c r="C1147" s="3" t="n">
        <v>47.25</v>
      </c>
      <c r="D1147" s="3" t="n">
        <v>77.48999999999999</v>
      </c>
      <c r="E1147" s="3" t="n">
        <v>14.66</v>
      </c>
      <c r="F1147" s="3" t="n">
        <v>34.65</v>
      </c>
      <c r="G1147" s="3" t="n">
        <v>17.26</v>
      </c>
      <c r="H1147" s="3" t="n">
        <v>15.66</v>
      </c>
      <c r="I1147" s="3" t="n">
        <v>9.44</v>
      </c>
      <c r="J1147" s="3" t="n">
        <v>178.9</v>
      </c>
    </row>
    <row r="1148">
      <c r="A1148" s="8" t="n">
        <v>46105</v>
      </c>
      <c r="B1148" s="3" t="n">
        <v>16.52</v>
      </c>
      <c r="C1148" s="3" t="n">
        <v>47.45</v>
      </c>
      <c r="D1148" s="3" t="n">
        <v>78.09999999999999</v>
      </c>
      <c r="E1148" s="3" t="n">
        <v>14.7</v>
      </c>
      <c r="F1148" s="3" t="n">
        <v>34.46</v>
      </c>
      <c r="G1148" s="3" t="n">
        <v>17.38</v>
      </c>
      <c r="H1148" s="3" t="n">
        <v>15.68</v>
      </c>
      <c r="I1148" s="3" t="n">
        <v>9.6</v>
      </c>
      <c r="J1148" s="3" t="n">
        <v>179.19</v>
      </c>
    </row>
    <row r="1149">
      <c r="A1149" s="8" t="n">
        <v>46106</v>
      </c>
      <c r="B1149" s="3" t="n">
        <v>16.61</v>
      </c>
      <c r="C1149" s="3" t="n">
        <v>48.18</v>
      </c>
      <c r="D1149" s="3" t="n">
        <v>79.55</v>
      </c>
      <c r="E1149" s="3" t="n">
        <v>15.01</v>
      </c>
      <c r="F1149" s="3" t="n">
        <v>34.83</v>
      </c>
      <c r="G1149" s="3" t="n">
        <v>18</v>
      </c>
      <c r="H1149" s="3" t="n">
        <v>15.44</v>
      </c>
      <c r="I1149" s="3" t="n">
        <v>10.05</v>
      </c>
      <c r="J1149" s="3" t="n">
        <v>182.2</v>
      </c>
    </row>
    <row r="1150">
      <c r="A1150" s="8" t="n">
        <v>46107</v>
      </c>
      <c r="B1150" s="3" t="n">
        <v>16</v>
      </c>
      <c r="C1150" s="3" t="n">
        <v>47.52</v>
      </c>
      <c r="D1150" s="3" t="n">
        <v>78.91</v>
      </c>
      <c r="E1150" s="3" t="n">
        <v>14.83</v>
      </c>
      <c r="F1150" s="3" t="n">
        <v>34.64</v>
      </c>
      <c r="G1150" s="3" t="n">
        <v>17.77</v>
      </c>
      <c r="H1150" s="3" t="n">
        <v>15.19</v>
      </c>
      <c r="I1150" s="3" t="n">
        <v>9.94</v>
      </c>
      <c r="J1150" s="3" t="n">
        <v>179.45</v>
      </c>
    </row>
    <row r="1151">
      <c r="A1151" s="8" t="n">
        <v>46108</v>
      </c>
      <c r="B1151" s="3" t="n">
        <v>15.73</v>
      </c>
      <c r="C1151" s="3" t="n">
        <v>47.41</v>
      </c>
      <c r="D1151" s="3" t="n">
        <v>79</v>
      </c>
      <c r="E1151" s="3" t="n">
        <v>14.76</v>
      </c>
      <c r="F1151" s="3" t="n">
        <v>34.4</v>
      </c>
      <c r="G1151" s="3" t="n">
        <v>17.21</v>
      </c>
      <c r="H1151" s="3" t="n">
        <v>14.89</v>
      </c>
      <c r="I1151" s="3" t="n">
        <v>9.69</v>
      </c>
      <c r="J1151" s="3" t="n">
        <v>177.74</v>
      </c>
    </row>
    <row r="1152">
      <c r="A1152" s="8" t="n">
        <v>46111</v>
      </c>
      <c r="B1152" s="3" t="n">
        <v>15.6</v>
      </c>
      <c r="C1152" s="3" t="n">
        <v>49.05</v>
      </c>
      <c r="D1152" s="3" t="n">
        <v>79.5</v>
      </c>
      <c r="E1152" s="3" t="n">
        <v>14.84</v>
      </c>
      <c r="F1152" s="3" t="n">
        <v>34.3</v>
      </c>
      <c r="G1152" s="3" t="n">
        <v>17.04</v>
      </c>
      <c r="H1152" s="3" t="n">
        <v>14.19</v>
      </c>
      <c r="I1152" s="3" t="n">
        <v>9.93</v>
      </c>
      <c r="J1152" s="3" t="n">
        <v>179</v>
      </c>
    </row>
    <row r="1153">
      <c r="A1153" s="8" t="n">
        <v>46112</v>
      </c>
      <c r="B1153" s="3" t="n">
        <v>16.25</v>
      </c>
      <c r="C1153" s="3" t="n">
        <v>51.01</v>
      </c>
      <c r="D1153" s="3" t="n">
        <v>82.48</v>
      </c>
      <c r="E1153" s="3" t="n">
        <v>15.25</v>
      </c>
      <c r="F1153" s="3" t="n">
        <v>34.81</v>
      </c>
      <c r="G1153" s="3" t="n">
        <v>18.4</v>
      </c>
      <c r="H1153" s="3" t="n">
        <v>14.96</v>
      </c>
      <c r="I1153" s="3" t="n">
        <v>10.1</v>
      </c>
      <c r="J1153" s="3" t="n">
        <v>184.28</v>
      </c>
    </row>
    <row r="1154">
      <c r="A1154" s="8" t="n">
        <v>46113</v>
      </c>
      <c r="B1154" s="3" t="n">
        <v>16.18</v>
      </c>
      <c r="C1154" s="3" t="n">
        <v>51.01</v>
      </c>
      <c r="D1154" s="3" t="n">
        <v>83</v>
      </c>
      <c r="E1154" s="3" t="n">
        <v>15.36</v>
      </c>
      <c r="F1154" s="3" t="n">
        <v>35.1</v>
      </c>
      <c r="G1154" s="3" t="n">
        <v>18.52</v>
      </c>
      <c r="H1154" s="3" t="n">
        <v>14.96</v>
      </c>
      <c r="I1154" s="3" t="n">
        <v>10.48</v>
      </c>
      <c r="J1154" s="3" t="n">
        <v>184.18</v>
      </c>
    </row>
    <row r="1155">
      <c r="A1155" s="8" t="n">
        <v>46114</v>
      </c>
      <c r="B1155" s="3" t="n">
        <v>16.1</v>
      </c>
      <c r="C1155" s="3" t="n">
        <v>50.31</v>
      </c>
      <c r="D1155" s="3" t="n">
        <v>83.55</v>
      </c>
      <c r="E1155" s="3" t="n">
        <v>15.28</v>
      </c>
      <c r="F1155" s="3" t="n">
        <v>35.43</v>
      </c>
      <c r="G1155" s="3" t="n">
        <v>18.59</v>
      </c>
      <c r="H1155" s="3" t="n">
        <v>14.84</v>
      </c>
      <c r="I1155" s="3" t="n">
        <v>10.62</v>
      </c>
      <c r="J1155" s="3" t="n">
        <v>184.37</v>
      </c>
    </row>
    <row r="1156">
      <c r="A1156" s="8" t="n">
        <v>46118</v>
      </c>
      <c r="B1156" s="3" t="n">
        <v>15.93</v>
      </c>
      <c r="C1156" s="3" t="n">
        <v>50.62</v>
      </c>
      <c r="D1156" s="3" t="n">
        <v>83.09</v>
      </c>
      <c r="E1156" s="3" t="n">
        <v>15.45</v>
      </c>
      <c r="F1156" s="3" t="n">
        <v>35.44</v>
      </c>
      <c r="G1156" s="3" t="n">
        <v>18.43</v>
      </c>
      <c r="H1156" s="3" t="n">
        <v>14.65</v>
      </c>
      <c r="I1156" s="3" t="n">
        <v>10.68</v>
      </c>
      <c r="J1156" s="3" t="n">
        <v>184.56</v>
      </c>
    </row>
    <row r="1157">
      <c r="A1157" s="8" t="n">
        <v>46119</v>
      </c>
      <c r="B1157" s="3" t="n">
        <v>16.4</v>
      </c>
      <c r="C1157" s="3" t="n">
        <v>50.65</v>
      </c>
      <c r="D1157" s="3" t="n">
        <v>83.69</v>
      </c>
      <c r="E1157" s="3" t="n">
        <v>15.48</v>
      </c>
      <c r="F1157" s="3" t="n">
        <v>35.47</v>
      </c>
      <c r="G1157" s="3" t="n">
        <v>18.05</v>
      </c>
      <c r="H1157" s="3" t="n">
        <v>14.8</v>
      </c>
      <c r="I1157" s="3" t="n">
        <v>10.26</v>
      </c>
      <c r="J1157" s="3" t="n">
        <v>185</v>
      </c>
    </row>
    <row r="1158">
      <c r="A1158" s="8" t="n">
        <v>46120</v>
      </c>
      <c r="B1158" s="3" t="n">
        <v>16.14</v>
      </c>
      <c r="C1158" s="3" t="n">
        <v>52.77</v>
      </c>
      <c r="D1158" s="3" t="n">
        <v>85.59</v>
      </c>
      <c r="E1158" s="3" t="n">
        <v>15.86</v>
      </c>
      <c r="F1158" s="3" t="n">
        <v>35.85</v>
      </c>
      <c r="G1158" s="3" t="n">
        <v>18.71</v>
      </c>
      <c r="H1158" s="3" t="n">
        <v>15.5</v>
      </c>
      <c r="I1158" s="3" t="n">
        <v>11.19</v>
      </c>
      <c r="J1158" s="3" t="n">
        <v>189</v>
      </c>
    </row>
    <row r="1159">
      <c r="A1159" s="8" t="n">
        <v>46121</v>
      </c>
      <c r="B1159" s="3" t="n">
        <v>16.12</v>
      </c>
      <c r="C1159" s="3" t="n">
        <v>52.5</v>
      </c>
      <c r="D1159" s="3" t="n">
        <v>84.69</v>
      </c>
      <c r="E1159" s="3" t="n">
        <v>16.06</v>
      </c>
      <c r="F1159" s="3" t="n">
        <v>35.9</v>
      </c>
      <c r="G1159" s="3" t="n">
        <v>19.16</v>
      </c>
      <c r="H1159" s="3" t="n">
        <v>15.91</v>
      </c>
      <c r="I1159" s="3" t="n">
        <v>11.72</v>
      </c>
      <c r="J1159" s="3" t="n">
        <v>191.7</v>
      </c>
    </row>
    <row r="1160">
      <c r="A1160" s="8" t="n">
        <v>46122</v>
      </c>
      <c r="B1160" s="3" t="n">
        <v>16.43</v>
      </c>
      <c r="C1160" s="3" t="n">
        <v>52.88</v>
      </c>
      <c r="D1160" s="3" t="n">
        <v>85.59</v>
      </c>
      <c r="E1160" s="3" t="n">
        <v>16.12</v>
      </c>
      <c r="F1160" s="3" t="n">
        <v>36.41</v>
      </c>
      <c r="G1160" s="3" t="n">
        <v>19.51</v>
      </c>
      <c r="H1160" s="3" t="n">
        <v>15.72</v>
      </c>
      <c r="I1160" s="3" t="n">
        <v>13.25</v>
      </c>
      <c r="J1160" s="3" t="n">
        <v>193.84</v>
      </c>
    </row>
    <row r="1161">
      <c r="A1161" s="8" t="n">
        <v>46125</v>
      </c>
      <c r="B1161" s="3" t="n">
        <v>16.24</v>
      </c>
      <c r="C1161" s="3" t="n">
        <v>52.04</v>
      </c>
      <c r="D1161" s="3" t="n">
        <v>87.36</v>
      </c>
      <c r="E1161" s="3" t="n">
        <v>15.93</v>
      </c>
      <c r="F1161" s="3" t="n">
        <v>36.05</v>
      </c>
      <c r="G1161" s="3" t="n">
        <v>19.26</v>
      </c>
      <c r="H1161" s="3" t="n">
        <v>15.81</v>
      </c>
      <c r="I1161" s="3" t="n">
        <v>13.07</v>
      </c>
      <c r="J1161" s="3" t="n">
        <v>194.3</v>
      </c>
    </row>
    <row r="1162">
      <c r="A1162" s="8" t="n">
        <v>46126</v>
      </c>
      <c r="B1162" s="3" t="n">
        <v>16.92</v>
      </c>
      <c r="C1162" s="3" t="n">
        <v>51.9</v>
      </c>
      <c r="D1162" s="3" t="n">
        <v>88.3</v>
      </c>
      <c r="E1162" s="3" t="n">
        <v>15.89</v>
      </c>
      <c r="F1162" s="3" t="n">
        <v>35.73</v>
      </c>
      <c r="G1162" s="3" t="n">
        <v>19.68</v>
      </c>
      <c r="H1162" s="3" t="n">
        <v>15.67</v>
      </c>
      <c r="I1162" s="3" t="n">
        <v>13.05</v>
      </c>
      <c r="J1162" s="3" t="n">
        <v>195.16</v>
      </c>
    </row>
    <row r="1163">
      <c r="A1163" s="8" t="n">
        <v>46127</v>
      </c>
      <c r="B1163" s="3" t="n">
        <v>16.96</v>
      </c>
      <c r="C1163" s="3" t="n">
        <v>49.96</v>
      </c>
      <c r="D1163" s="3" t="n">
        <v>88.44</v>
      </c>
      <c r="E1163" s="3" t="n">
        <v>15.83</v>
      </c>
      <c r="F1163" s="3" t="n">
        <v>35.05</v>
      </c>
      <c r="G1163" s="3" t="n">
        <v>19.84</v>
      </c>
      <c r="H1163" s="3" t="n">
        <v>15.6</v>
      </c>
      <c r="I1163" s="3" t="n">
        <v>12.65</v>
      </c>
      <c r="J1163" s="3" t="n">
        <v>193.86</v>
      </c>
    </row>
    <row r="1164">
      <c r="A1164" s="8" t="n">
        <v>46128</v>
      </c>
      <c r="B1164" s="3" t="n">
        <v>16.59</v>
      </c>
      <c r="C1164" s="3" t="n">
        <v>48.4</v>
      </c>
      <c r="D1164" s="3" t="n">
        <v>87.44</v>
      </c>
      <c r="E1164" s="3" t="n">
        <v>15.43</v>
      </c>
      <c r="F1164" s="3" t="n">
        <v>35.01</v>
      </c>
      <c r="G1164" s="3" t="n">
        <v>19.78</v>
      </c>
      <c r="H1164" s="3" t="n">
        <v>15.05</v>
      </c>
      <c r="I1164" s="3" t="n">
        <v>12.35</v>
      </c>
      <c r="J1164" s="3" t="n">
        <v>193.05</v>
      </c>
    </row>
    <row r="1165">
      <c r="A1165" s="8" t="n">
        <v>46129</v>
      </c>
      <c r="B1165" s="3" t="n">
        <v>16.55</v>
      </c>
      <c r="C1165" s="3" t="n">
        <v>48.65</v>
      </c>
      <c r="D1165" s="3" t="n">
        <v>89.75</v>
      </c>
      <c r="E1165" s="3" t="n">
        <v>15.33</v>
      </c>
      <c r="F1165" s="3" t="n">
        <v>34.92</v>
      </c>
      <c r="G1165" s="3" t="n">
        <v>19.43</v>
      </c>
      <c r="H1165" s="3" t="n">
        <v>15.43</v>
      </c>
      <c r="I1165" s="3" t="n">
        <v>12.23</v>
      </c>
      <c r="J1165" s="3" t="n">
        <v>192.1</v>
      </c>
    </row>
    <row r="1166">
      <c r="A1166" s="8" t="n">
        <v>46132</v>
      </c>
      <c r="B1166" s="3" t="n">
        <v>16.47</v>
      </c>
      <c r="C1166" s="3" t="n">
        <v>48.48</v>
      </c>
      <c r="D1166" s="3" t="n">
        <v>88.73</v>
      </c>
      <c r="E1166" s="3" t="n">
        <v>15.31</v>
      </c>
      <c r="F1166" s="3" t="n">
        <v>35.28</v>
      </c>
      <c r="G1166" s="3" t="n">
        <v>19.25</v>
      </c>
      <c r="H1166" s="3" t="n">
        <v>15.15</v>
      </c>
      <c r="I1166" s="3" t="n">
        <v>12.38</v>
      </c>
      <c r="J1166" s="3" t="n">
        <v>192.64</v>
      </c>
    </row>
    <row r="1167">
      <c r="A1167" s="8" t="n">
        <v>46134</v>
      </c>
      <c r="B1167" s="3" t="n">
        <v>16.23</v>
      </c>
      <c r="C1167" s="3" t="n">
        <v>47.4</v>
      </c>
      <c r="D1167" s="3" t="n">
        <v>87.22</v>
      </c>
      <c r="E1167" s="3" t="n">
        <v>15</v>
      </c>
      <c r="F1167" s="3" t="n">
        <v>34.7</v>
      </c>
      <c r="G1167" s="3" t="n">
        <v>19.07</v>
      </c>
      <c r="H1167" s="3" t="n">
        <v>14.62</v>
      </c>
      <c r="I1167" s="3" t="n">
        <v>12.65</v>
      </c>
      <c r="J1167" s="3" t="n">
        <v>189.33</v>
      </c>
    </row>
    <row r="1168">
      <c r="A1168" s="8" t="n">
        <v>46135</v>
      </c>
      <c r="B1168" s="3" t="n">
        <v>15.92</v>
      </c>
      <c r="C1168" s="3" t="n">
        <v>48.28</v>
      </c>
      <c r="D1168" s="3" t="n">
        <v>85.97</v>
      </c>
      <c r="E1168" s="3" t="n">
        <v>14.74</v>
      </c>
      <c r="F1168" s="3" t="n">
        <v>34.27</v>
      </c>
      <c r="G1168" s="3" t="n">
        <v>19.03</v>
      </c>
      <c r="H1168" s="3" t="n">
        <v>14.34</v>
      </c>
      <c r="I1168" s="3" t="n">
        <v>13.3</v>
      </c>
      <c r="J1168" s="3" t="n">
        <v>187.87</v>
      </c>
    </row>
    <row r="1169">
      <c r="A1169" s="8" t="n">
        <v>46136</v>
      </c>
      <c r="B1169" s="3" t="n">
        <v>15.82</v>
      </c>
      <c r="C1169" s="3" t="n">
        <v>47.8</v>
      </c>
      <c r="D1169" s="3" t="n">
        <v>85.87</v>
      </c>
      <c r="E1169" s="3" t="n">
        <v>14.5</v>
      </c>
      <c r="F1169" s="3" t="n">
        <v>34.29</v>
      </c>
      <c r="G1169" s="3" t="n">
        <v>18.98</v>
      </c>
      <c r="H1169" s="3" t="n">
        <v>14.28</v>
      </c>
      <c r="I1169" s="3" t="n">
        <v>14.09</v>
      </c>
      <c r="J1169" s="3" t="n">
        <v>187.01</v>
      </c>
    </row>
    <row r="1170">
      <c r="A1170" s="8" t="n">
        <v>46139</v>
      </c>
      <c r="B1170" s="3" t="n">
        <v>15.6</v>
      </c>
      <c r="C1170" s="3" t="n">
        <v>48.19</v>
      </c>
      <c r="D1170" s="3" t="n">
        <v>85.5</v>
      </c>
      <c r="E1170" s="3" t="n">
        <v>14.54</v>
      </c>
      <c r="F1170" s="3" t="n">
        <v>33.95</v>
      </c>
      <c r="G1170" s="3" t="n">
        <v>18.72</v>
      </c>
      <c r="H1170" s="3" t="n">
        <v>13.97</v>
      </c>
      <c r="I1170" s="3" t="n">
        <v>13.15</v>
      </c>
      <c r="J1170" s="3" t="n">
        <v>186.06</v>
      </c>
    </row>
    <row r="1171">
      <c r="A1171" s="8" t="n">
        <v>46140</v>
      </c>
      <c r="B1171" s="3" t="n">
        <v>15.59</v>
      </c>
      <c r="C1171" s="3" t="n">
        <v>47.29</v>
      </c>
      <c r="D1171" s="3" t="n">
        <v>84.39</v>
      </c>
      <c r="E1171" s="3" t="n">
        <v>14.58</v>
      </c>
      <c r="F1171" s="3" t="n">
        <v>34.04</v>
      </c>
      <c r="G1171" s="3" t="n">
        <v>18.53</v>
      </c>
      <c r="H1171" s="3" t="n">
        <v>14.01</v>
      </c>
      <c r="I1171" s="3" t="n">
        <v>12.04</v>
      </c>
      <c r="J1171" s="3" t="n">
        <v>185.16</v>
      </c>
    </row>
    <row r="1172">
      <c r="A1172" s="8" t="n">
        <v>46141</v>
      </c>
      <c r="B1172" s="3" t="n">
        <v>15.47</v>
      </c>
      <c r="C1172" s="3" t="n">
        <v>44.1</v>
      </c>
      <c r="D1172" s="3" t="n">
        <v>79.44</v>
      </c>
      <c r="E1172" s="3" t="n">
        <v>14.33</v>
      </c>
      <c r="F1172" s="3" t="n">
        <v>33.75</v>
      </c>
      <c r="G1172" s="3" t="n">
        <v>17.88</v>
      </c>
      <c r="H1172" s="3" t="n">
        <v>13.42</v>
      </c>
      <c r="I1172" s="3" t="n">
        <v>11.75</v>
      </c>
      <c r="J1172" s="3" t="n">
        <v>181.03</v>
      </c>
    </row>
    <row r="1173">
      <c r="A1173" s="8" t="n">
        <v>46142</v>
      </c>
      <c r="B1173" s="3" t="n">
        <v>15.73</v>
      </c>
      <c r="C1173" s="3" t="n">
        <v>44.86</v>
      </c>
      <c r="D1173" s="3" t="n">
        <v>81.18000000000001</v>
      </c>
      <c r="E1173" s="3" t="n">
        <v>14.51</v>
      </c>
      <c r="F1173" s="3" t="n">
        <v>33.88</v>
      </c>
      <c r="G1173" s="3" t="n">
        <v>18.03</v>
      </c>
      <c r="H1173" s="3" t="n">
        <v>13.6</v>
      </c>
      <c r="I1173" s="3" t="n">
        <v>12.39</v>
      </c>
      <c r="J1173" s="3" t="n">
        <v>184.09</v>
      </c>
    </row>
    <row r="1174">
      <c r="A1174" s="8" t="n">
        <v>46146</v>
      </c>
      <c r="B1174" s="3" t="n">
        <v>16.24</v>
      </c>
      <c r="C1174" s="3" t="n">
        <v>44.36</v>
      </c>
      <c r="D1174" s="3" t="n">
        <v>78.66</v>
      </c>
      <c r="E1174" s="3" t="n">
        <v>14.44</v>
      </c>
      <c r="F1174" s="3" t="n">
        <v>33.85</v>
      </c>
      <c r="G1174" s="3" t="n">
        <v>17.87</v>
      </c>
      <c r="H1174" s="3" t="n">
        <v>13.52</v>
      </c>
      <c r="I1174" s="3" t="n">
        <v>11.5</v>
      </c>
      <c r="J1174" s="3" t="n">
        <v>181.76</v>
      </c>
    </row>
    <row r="1175">
      <c r="A1175" s="8" t="n">
        <v>46147</v>
      </c>
      <c r="B1175" s="3" t="n">
        <v>16.29</v>
      </c>
      <c r="C1175" s="3" t="n">
        <v>43.54</v>
      </c>
      <c r="D1175" s="3" t="n">
        <v>78.39</v>
      </c>
      <c r="E1175" s="3" t="n">
        <v>16.65</v>
      </c>
      <c r="F1175" s="3" t="n">
        <v>34.45</v>
      </c>
      <c r="G1175" s="3" t="n">
        <v>18.01</v>
      </c>
      <c r="H1175" s="3" t="n">
        <v>14.05</v>
      </c>
      <c r="I1175" s="3" t="n">
        <v>11.71</v>
      </c>
      <c r="J1175" s="3" t="n">
        <v>183.27</v>
      </c>
    </row>
    <row r="1176">
      <c r="A1176" s="8" t="n">
        <v>46148</v>
      </c>
      <c r="B1176" s="3" t="n">
        <v>16.69</v>
      </c>
      <c r="C1176" s="3" t="n">
        <v>44.94</v>
      </c>
      <c r="D1176" s="3" t="n">
        <v>81.23</v>
      </c>
      <c r="E1176" s="3" t="n">
        <v>16.95</v>
      </c>
      <c r="F1176" s="3" t="n">
        <v>34.83</v>
      </c>
      <c r="G1176" s="3" t="n">
        <v>18.36</v>
      </c>
      <c r="H1176" s="3" t="n">
        <v>14.69</v>
      </c>
      <c r="I1176" s="3" t="n">
        <v>11.91</v>
      </c>
      <c r="J1176" s="3" t="n">
        <v>184.25</v>
      </c>
    </row>
    <row r="1177">
      <c r="A1177" s="8" t="n">
        <v>46149</v>
      </c>
      <c r="B1177" s="3" t="n">
        <v>16.29</v>
      </c>
      <c r="C1177" s="3" t="n">
        <v>44.31</v>
      </c>
      <c r="D1177" s="3" t="n">
        <v>80.06999999999999</v>
      </c>
      <c r="E1177" s="3" t="n">
        <v>16.41</v>
      </c>
      <c r="F1177" s="3" t="n">
        <v>34.3</v>
      </c>
      <c r="G1177" s="3" t="n">
        <v>17.78</v>
      </c>
      <c r="H1177" s="3" t="n">
        <v>14.94</v>
      </c>
      <c r="I1177" s="3" t="n">
        <v>11.85</v>
      </c>
      <c r="J1177" s="3" t="n">
        <v>179.7</v>
      </c>
    </row>
    <row r="1178">
      <c r="A1178" s="8" t="n">
        <v>46150</v>
      </c>
      <c r="B1178" s="3" t="n">
        <v>16.93</v>
      </c>
      <c r="C1178" s="3" t="n">
        <v>45.52</v>
      </c>
      <c r="D1178" s="3" t="n">
        <v>81.48999999999999</v>
      </c>
      <c r="E1178" s="3" t="n">
        <v>16.32</v>
      </c>
      <c r="F1178" s="3" t="n">
        <v>34.52</v>
      </c>
      <c r="G1178" s="3" t="n">
        <v>17.93</v>
      </c>
      <c r="H1178" s="3" t="n">
        <v>14.35</v>
      </c>
      <c r="I1178" s="3" t="n">
        <v>11.81</v>
      </c>
      <c r="J1178" s="3" t="n">
        <v>180.93</v>
      </c>
    </row>
    <row r="1179">
      <c r="A1179" s="8" t="n">
        <v>46153</v>
      </c>
      <c r="B1179" s="3" t="n">
        <v>16.18</v>
      </c>
      <c r="C1179" s="3" t="n">
        <v>44.16</v>
      </c>
      <c r="D1179" s="3" t="n">
        <v>83.45</v>
      </c>
      <c r="E1179" s="3" t="n">
        <v>16.25</v>
      </c>
      <c r="F1179" s="3" t="n">
        <v>34.3</v>
      </c>
      <c r="G1179" s="3" t="n">
        <v>17.59</v>
      </c>
      <c r="H1179" s="3" t="n">
        <v>13.72</v>
      </c>
      <c r="I1179" s="3" t="n">
        <v>11.44</v>
      </c>
      <c r="J1179" s="3" t="n">
        <v>178.59</v>
      </c>
    </row>
    <row r="1180">
      <c r="A1180" s="8" t="n">
        <v>46154</v>
      </c>
      <c r="B1180" s="3" t="n">
        <v>15.75</v>
      </c>
      <c r="C1180" s="3" t="n">
        <v>43.39</v>
      </c>
      <c r="D1180" s="3" t="n">
        <v>83.25</v>
      </c>
      <c r="E1180" s="3" t="n">
        <v>16.13</v>
      </c>
      <c r="F1180" s="3" t="n">
        <v>34.21</v>
      </c>
      <c r="G1180" s="3" t="n">
        <v>17.3</v>
      </c>
      <c r="H1180" s="3" t="n">
        <v>13.69</v>
      </c>
      <c r="I1180" s="3" t="n">
        <v>12.5</v>
      </c>
      <c r="J1180" s="3" t="n">
        <v>177.19</v>
      </c>
    </row>
    <row r="1181">
      <c r="A1181" s="8" t="n">
        <v>46155</v>
      </c>
      <c r="B1181" s="3" t="n">
        <v>15.29</v>
      </c>
      <c r="C1181" s="3" t="n">
        <v>43.31</v>
      </c>
      <c r="D1181" s="3" t="n">
        <v>84.3</v>
      </c>
      <c r="E1181" s="3" t="n">
        <v>15.91</v>
      </c>
      <c r="F1181" s="3" t="n">
        <v>34.03</v>
      </c>
      <c r="G1181" s="3" t="n">
        <v>16.64</v>
      </c>
      <c r="H1181" s="3" t="n">
        <v>13.14</v>
      </c>
      <c r="I1181" s="3" t="n">
        <v>12.74</v>
      </c>
      <c r="J1181" s="3" t="n">
        <v>173.79</v>
      </c>
    </row>
    <row r="1182">
      <c r="A1182" s="8" t="n">
        <v>46156</v>
      </c>
      <c r="B1182" s="3" t="n">
        <v>15.27</v>
      </c>
      <c r="C1182" s="3" t="n">
        <v>43.72</v>
      </c>
      <c r="D1182" s="3" t="n">
        <v>82.87</v>
      </c>
      <c r="E1182" s="3" t="n">
        <v>15.77</v>
      </c>
      <c r="F1182" s="3" t="n">
        <v>34.48</v>
      </c>
      <c r="G1182" s="3" t="n">
        <v>16.93</v>
      </c>
      <c r="H1182" s="3" t="n">
        <v>13.72</v>
      </c>
      <c r="I1182" s="3" t="n">
        <v>13.26</v>
      </c>
      <c r="J1182" s="3" t="n">
        <v>175.16</v>
      </c>
    </row>
    <row r="1183">
      <c r="A1183" s="8" t="n">
        <v>46157</v>
      </c>
      <c r="B1183" s="3" t="n">
        <v>14.97</v>
      </c>
      <c r="C1183" s="3" t="n">
        <v>43.13</v>
      </c>
      <c r="D1183" s="3" t="n">
        <v>83.5</v>
      </c>
      <c r="E1183" s="3" t="n">
        <v>15.69</v>
      </c>
      <c r="F1183" s="3" t="n">
        <v>34.12</v>
      </c>
      <c r="G1183" s="3" t="n">
        <v>16.7</v>
      </c>
      <c r="H1183" s="3" t="n">
        <v>13.55</v>
      </c>
      <c r="I1183" s="3" t="n">
        <v>12.45</v>
      </c>
      <c r="J1183" s="3" t="n">
        <v>173.88</v>
      </c>
    </row>
    <row r="1184">
      <c r="A1184" s="8" t="n">
        <v>46160</v>
      </c>
      <c r="B1184" s="3" t="n">
        <v>14.9</v>
      </c>
      <c r="C1184" s="3" t="n">
        <v>42.34</v>
      </c>
      <c r="D1184" s="3" t="n">
        <v>81.83</v>
      </c>
      <c r="E1184" s="3" t="n">
        <v>15.81</v>
      </c>
      <c r="F1184" s="3" t="n">
        <v>34.12</v>
      </c>
      <c r="G1184" s="3" t="n">
        <v>16.72</v>
      </c>
      <c r="H1184" s="3" t="n">
        <v>13.77</v>
      </c>
      <c r="I1184" s="3" t="n">
        <v>12.83</v>
      </c>
      <c r="J1184" s="3" t="n">
        <v>174</v>
      </c>
    </row>
    <row r="1185">
      <c r="A1185" s="8" t="n">
        <v>46161</v>
      </c>
      <c r="B1185" s="3" t="n">
        <v>14.61</v>
      </c>
      <c r="C1185" s="3" t="n">
        <v>41.82</v>
      </c>
      <c r="D1185" s="3" t="n">
        <v>81.02</v>
      </c>
      <c r="E1185" s="3" t="n">
        <v>15.81</v>
      </c>
      <c r="F1185" s="3" t="n">
        <v>33.91</v>
      </c>
      <c r="G1185" s="3" t="n">
        <v>15.89</v>
      </c>
      <c r="H1185" s="3" t="n">
        <v>13.64</v>
      </c>
      <c r="I1185" s="3" t="n">
        <v>12.71</v>
      </c>
      <c r="J1185" s="3" t="n">
        <v>170.87</v>
      </c>
    </row>
    <row r="1186">
      <c r="A1186" s="8" t="n">
        <v>46162</v>
      </c>
      <c r="B1186" s="3" t="n">
        <v>15.02</v>
      </c>
      <c r="C1186" s="3" t="n">
        <v>42.58</v>
      </c>
      <c r="D1186" s="3" t="n">
        <v>82</v>
      </c>
      <c r="E1186" s="3" t="n">
        <v>16.22</v>
      </c>
      <c r="F1186" s="3" t="n">
        <v>34.71</v>
      </c>
      <c r="G1186" s="3" t="n">
        <v>16.79</v>
      </c>
      <c r="H1186" s="3" t="n">
        <v>14.7</v>
      </c>
      <c r="I1186" s="3" t="n">
        <v>13.27</v>
      </c>
      <c r="J1186" s="3" t="n">
        <v>173.95</v>
      </c>
    </row>
    <row r="1187">
      <c r="A1187" s="8" t="n">
        <v>46163</v>
      </c>
      <c r="B1187" s="3" t="n">
        <v>14.67</v>
      </c>
      <c r="C1187" s="3" t="n">
        <v>42.47</v>
      </c>
      <c r="D1187" s="3" t="n">
        <v>82.63</v>
      </c>
      <c r="E1187" s="3" t="n">
        <v>16.4</v>
      </c>
      <c r="F1187" s="3" t="n">
        <v>34.74</v>
      </c>
      <c r="G1187" s="3" t="n">
        <v>17.02</v>
      </c>
      <c r="H1187" s="3" t="n">
        <v>14.85</v>
      </c>
      <c r="I1187" s="3" t="n">
        <v>12.34</v>
      </c>
      <c r="J1187" s="3" t="n">
        <v>174.17</v>
      </c>
    </row>
    <row r="1188">
      <c r="A1188" s="8" t="n">
        <v>46164</v>
      </c>
      <c r="B1188" s="3" t="n">
        <v>14.21</v>
      </c>
      <c r="C1188" s="3" t="n">
        <v>42.73</v>
      </c>
      <c r="D1188" s="3" t="n">
        <v>83.09999999999999</v>
      </c>
      <c r="E1188" s="3" t="n">
        <v>16.1</v>
      </c>
      <c r="F1188" s="3" t="n">
        <v>34.47</v>
      </c>
      <c r="G1188" s="3" t="n">
        <v>16.66</v>
      </c>
      <c r="H1188" s="3" t="n">
        <v>15.07</v>
      </c>
      <c r="I1188" s="3" t="n">
        <v>12.05</v>
      </c>
      <c r="J1188" s="3" t="n">
        <v>173.3</v>
      </c>
    </row>
    <row r="1189">
      <c r="A1189" s="8" t="n">
        <v>46167</v>
      </c>
      <c r="B1189" s="3" t="n">
        <v>14.36</v>
      </c>
      <c r="C1189" s="3" t="n">
        <v>43.31</v>
      </c>
      <c r="D1189" s="3" t="n">
        <v>83.59</v>
      </c>
      <c r="E1189" s="3" t="n">
        <v>16.4</v>
      </c>
      <c r="F1189" s="3" t="n">
        <v>34.62</v>
      </c>
      <c r="G1189" s="3" t="n">
        <v>17.26</v>
      </c>
      <c r="H1189" s="3" t="n">
        <v>15.41</v>
      </c>
      <c r="I1189" s="3" t="n">
        <v>12.4</v>
      </c>
      <c r="J1189" s="3" t="n">
        <v>174.48</v>
      </c>
    </row>
    <row r="1190">
      <c r="A1190" s="8" t="n">
        <v>46168</v>
      </c>
      <c r="B1190" s="3" t="n">
        <v>14.25</v>
      </c>
      <c r="C1190" s="3" t="n">
        <v>43.44</v>
      </c>
      <c r="D1190" s="3" t="n">
        <v>83.06999999999999</v>
      </c>
      <c r="E1190" s="3" t="n">
        <v>16.59</v>
      </c>
      <c r="F1190" s="3" t="n">
        <v>34.72</v>
      </c>
      <c r="G1190" s="3" t="n">
        <v>16.94</v>
      </c>
      <c r="H1190" s="3" t="n">
        <v>15.04</v>
      </c>
      <c r="I1190" s="3" t="n">
        <v>12.6</v>
      </c>
      <c r="J1190" s="3" t="n">
        <v>173.29</v>
      </c>
    </row>
    <row r="1191">
      <c r="A1191" s="8" t="n">
        <v>46169</v>
      </c>
      <c r="B1191" s="3" t="n">
        <v>14.05</v>
      </c>
      <c r="C1191" s="3" t="n">
        <v>43.45</v>
      </c>
      <c r="D1191" s="3" t="n">
        <v>83.45</v>
      </c>
      <c r="E1191" s="3" t="n">
        <v>16.61</v>
      </c>
      <c r="F1191" s="3" t="n">
        <v>34.86</v>
      </c>
      <c r="G1191" s="3" t="n">
        <v>16.48</v>
      </c>
      <c r="H1191" s="3" t="n">
        <v>14.87</v>
      </c>
      <c r="I1191" s="3" t="n">
        <v>12.4</v>
      </c>
      <c r="J1191" s="3" t="n">
        <v>172.54</v>
      </c>
    </row>
    <row r="1192">
      <c r="A1192" s="8" t="n">
        <v>46170</v>
      </c>
      <c r="B1192" s="3" t="n">
        <v>13.85</v>
      </c>
      <c r="C1192" s="3" t="n">
        <v>43.72</v>
      </c>
      <c r="D1192" s="3" t="n">
        <v>83.95999999999999</v>
      </c>
      <c r="E1192" s="3" t="n">
        <v>16.29</v>
      </c>
      <c r="F1192" s="3" t="n">
        <v>34.58</v>
      </c>
      <c r="G1192" s="3" t="n">
        <v>16.5</v>
      </c>
      <c r="H1192" s="3" t="n">
        <v>15</v>
      </c>
      <c r="I1192" s="3" t="n">
        <v>12.48</v>
      </c>
      <c r="J1192" s="3" t="n">
        <v>171.7</v>
      </c>
    </row>
    <row r="1193">
      <c r="A1193" s="8" t="n">
        <v>46171</v>
      </c>
      <c r="B1193" s="3" t="n">
        <v>13.72</v>
      </c>
      <c r="C1193" s="3" t="n">
        <v>44.1</v>
      </c>
      <c r="D1193" s="3" t="n">
        <v>82.81999999999999</v>
      </c>
      <c r="E1193" s="3" t="n">
        <v>16.32</v>
      </c>
      <c r="F1193" s="3" t="n">
        <v>35.4</v>
      </c>
      <c r="G1193" s="3" t="n">
        <v>16.5</v>
      </c>
      <c r="H1193" s="3" t="n">
        <v>14.9</v>
      </c>
      <c r="I1193" s="3" t="n">
        <v>12.15</v>
      </c>
      <c r="J1193" s="3" t="n">
        <v>170.75</v>
      </c>
    </row>
    <row r="1194">
      <c r="A1194" s="8" t="n">
        <v>46174</v>
      </c>
      <c r="B1194" s="3" t="n">
        <v>13.92</v>
      </c>
      <c r="C1194" s="3" t="n">
        <v>43</v>
      </c>
      <c r="D1194" s="3" t="n">
        <v>81.7</v>
      </c>
      <c r="E1194" s="3" t="n">
        <v>16.43</v>
      </c>
      <c r="F1194" s="3" t="n">
        <v>35.03</v>
      </c>
      <c r="G1194" s="3" t="n">
        <v>16.25</v>
      </c>
      <c r="H1194" s="3" t="n">
        <v>15.02</v>
      </c>
      <c r="I1194" s="3" t="n">
        <v>12.2</v>
      </c>
      <c r="J1194" s="3" t="n">
        <v>169.12</v>
      </c>
    </row>
    <row r="1195">
      <c r="A1195" s="8" t="n">
        <v>46175</v>
      </c>
      <c r="B1195" s="3" t="n">
        <v>14.19</v>
      </c>
      <c r="C1195" s="3" t="n">
        <v>42</v>
      </c>
      <c r="D1195" s="3" t="n">
        <v>85</v>
      </c>
      <c r="E1195" s="3" t="n">
        <v>16.45</v>
      </c>
      <c r="F1195" s="3" t="n">
        <v>35.13</v>
      </c>
      <c r="G1195" s="3" t="n">
        <v>16.28</v>
      </c>
      <c r="H1195" s="3" t="n">
        <v>15.52</v>
      </c>
      <c r="I1195" s="3" t="n">
        <v>12.23</v>
      </c>
      <c r="J1195" s="3" t="n">
        <v>171.43</v>
      </c>
    </row>
    <row r="1196">
      <c r="A1196" s="8" t="n">
        <v>46176</v>
      </c>
      <c r="B1196" s="3" t="n">
        <v>13.89</v>
      </c>
      <c r="C1196" s="3" t="n">
        <v>41.78</v>
      </c>
      <c r="D1196" s="3" t="n">
        <v>81.79000000000001</v>
      </c>
      <c r="E1196" s="3" t="n">
        <v>16.07</v>
      </c>
      <c r="F1196" s="3" t="n">
        <v>35.04</v>
      </c>
      <c r="G1196" s="3" t="n">
        <v>15.52</v>
      </c>
      <c r="H1196" s="3" t="n">
        <v>14.64</v>
      </c>
      <c r="I1196" s="3" t="n">
        <v>11.22</v>
      </c>
      <c r="J1196" s="3" t="n">
        <v>167.28</v>
      </c>
    </row>
    <row r="1197">
      <c r="A1197" s="8" t="n">
        <v>46178</v>
      </c>
      <c r="B1197" s="3" t="n">
        <v>13.94</v>
      </c>
      <c r="C1197" s="3" t="n">
        <v>42.46</v>
      </c>
      <c r="D1197" s="3" t="n">
        <v>78.7</v>
      </c>
      <c r="E1197" s="3" t="n">
        <v>16.17</v>
      </c>
      <c r="F1197" s="3" t="n">
        <v>35.39</v>
      </c>
      <c r="G1197" s="3" t="n">
        <v>15.41</v>
      </c>
      <c r="H1197" s="3" t="n">
        <v>14.89</v>
      </c>
      <c r="I1197" s="3" t="n">
        <v>10.94</v>
      </c>
      <c r="J1197" s="3" t="n">
        <v>165.75</v>
      </c>
    </row>
    <row r="1198">
      <c r="A1198" s="8" t="n">
        <v>46181</v>
      </c>
      <c r="B1198" s="3" t="n">
        <v>13.52</v>
      </c>
      <c r="C1198" s="3" t="n">
        <v>44</v>
      </c>
      <c r="D1198" s="3" t="n">
        <v>78.06999999999999</v>
      </c>
      <c r="E1198" s="3" t="n">
        <v>16.08</v>
      </c>
      <c r="F1198" s="3" t="n">
        <v>35.87</v>
      </c>
      <c r="G1198" s="3" t="n">
        <v>15.22</v>
      </c>
      <c r="H1198" s="3" t="n">
        <v>14.97</v>
      </c>
      <c r="I1198" s="3" t="n">
        <v>10.89</v>
      </c>
      <c r="J1198" s="3" t="n">
        <v>165.5</v>
      </c>
    </row>
    <row r="1199">
      <c r="A1199" s="8" t="n">
        <v>46182</v>
      </c>
      <c r="B1199" s="3" t="n">
        <v>13.49</v>
      </c>
      <c r="C1199" s="3" t="n">
        <v>43.33</v>
      </c>
      <c r="D1199" s="3" t="n">
        <v>78.5</v>
      </c>
      <c r="E1199" s="3" t="n">
        <v>16.21</v>
      </c>
      <c r="F1199" s="3" t="n">
        <v>36.25</v>
      </c>
      <c r="G1199" s="3" t="n">
        <v>15.39</v>
      </c>
      <c r="H1199" s="3" t="n">
        <v>15.01</v>
      </c>
      <c r="I1199" s="3" t="n">
        <v>11.38</v>
      </c>
      <c r="J1199" s="3" t="n">
        <v>166.42</v>
      </c>
    </row>
    <row r="1200">
      <c r="A1200" s="8" t="n">
        <v>46183</v>
      </c>
      <c r="B1200" s="3" t="n">
        <v>13.3</v>
      </c>
      <c r="C1200" s="3" t="n">
        <v>42.39</v>
      </c>
      <c r="D1200" s="3" t="n">
        <v>77.7</v>
      </c>
      <c r="E1200" s="3" t="n">
        <v>16.28</v>
      </c>
      <c r="F1200" s="3" t="n">
        <v>36.63</v>
      </c>
      <c r="G1200" s="3" t="n">
        <v>15.12</v>
      </c>
      <c r="H1200" s="3" t="n">
        <v>14.82</v>
      </c>
      <c r="I1200" s="3" t="n">
        <v>11.41</v>
      </c>
      <c r="J1200" s="3" t="n">
        <v>165.82</v>
      </c>
    </row>
    <row r="1201">
      <c r="A1201" s="8" t="n">
        <v>46184</v>
      </c>
      <c r="B1201" s="3" t="n">
        <v>13.49</v>
      </c>
      <c r="C1201" s="3" t="n">
        <v>42.35</v>
      </c>
      <c r="D1201" s="3" t="n">
        <v>78.8</v>
      </c>
      <c r="E1201" s="3" t="n">
        <v>16.64</v>
      </c>
      <c r="F1201" s="3" t="n">
        <v>37.8</v>
      </c>
      <c r="G1201" s="3" t="n">
        <v>15.44</v>
      </c>
      <c r="H1201" s="3" t="n">
        <v>15.39</v>
      </c>
      <c r="I1201" s="3" t="n">
        <v>11.59</v>
      </c>
      <c r="J1201" s="3" t="n">
        <v>168.7</v>
      </c>
    </row>
    <row r="1202">
      <c r="A1202" s="8" t="n">
        <v>46185</v>
      </c>
      <c r="B1202" s="3" t="n">
        <v>13.36</v>
      </c>
      <c r="C1202" s="3" t="n">
        <v>42.61</v>
      </c>
      <c r="D1202" s="3" t="n">
        <v>79.17</v>
      </c>
      <c r="E1202" s="3" t="n">
        <v>16.61</v>
      </c>
      <c r="F1202" s="3" t="n">
        <v>37.87</v>
      </c>
      <c r="G1202" s="3" t="n">
        <v>15.23</v>
      </c>
      <c r="H1202" s="3" t="n">
        <v>15.38</v>
      </c>
      <c r="I1202" s="3" t="n">
        <v>11.4</v>
      </c>
      <c r="J1202" s="3" t="n">
        <v>167.92</v>
      </c>
    </row>
    <row r="1203">
      <c r="A1203" s="8" t="n">
        <v>46188</v>
      </c>
      <c r="B1203" s="3" t="n">
        <v>13.27</v>
      </c>
      <c r="C1203" s="3" t="n">
        <v>42.78</v>
      </c>
      <c r="D1203" s="3" t="n">
        <v>81.16</v>
      </c>
      <c r="E1203" s="3" t="n">
        <v>16.57</v>
      </c>
      <c r="F1203" s="3" t="n">
        <v>37.78</v>
      </c>
      <c r="G1203" s="3" t="n">
        <v>15.14</v>
      </c>
      <c r="H1203" s="3" t="n">
        <v>15.31</v>
      </c>
      <c r="I1203" s="3" t="n">
        <v>11.42</v>
      </c>
      <c r="J1203" s="3" t="n">
        <v>167.59</v>
      </c>
    </row>
    <row r="1204">
      <c r="A1204" s="8" t="n">
        <v>46189</v>
      </c>
      <c r="B1204" s="3" t="n">
        <v>13.03</v>
      </c>
      <c r="C1204" s="3" t="n">
        <v>42.83</v>
      </c>
      <c r="D1204" s="3" t="n">
        <v>81.44</v>
      </c>
      <c r="E1204" s="3" t="n">
        <v>16.44</v>
      </c>
      <c r="F1204" s="3" t="n">
        <v>38.19</v>
      </c>
      <c r="G1204" s="3" t="n">
        <v>15.04</v>
      </c>
      <c r="H1204" s="3" t="n">
        <v>14.89</v>
      </c>
      <c r="I1204" s="3" t="n">
        <v>11.21</v>
      </c>
      <c r="J1204" s="3" t="n">
        <v>166.35</v>
      </c>
    </row>
    <row r="1205">
      <c r="A1205" s="8" t="n">
        <v>46190</v>
      </c>
      <c r="B1205" s="3" t="n">
        <v>12.45</v>
      </c>
      <c r="C1205" s="3" t="n">
        <v>43.8</v>
      </c>
      <c r="D1205" s="3" t="n">
        <v>79.78</v>
      </c>
      <c r="E1205" s="3" t="n">
        <v>16.19</v>
      </c>
      <c r="F1205" s="3" t="n">
        <v>39.3</v>
      </c>
      <c r="G1205" s="3" t="n">
        <v>14.61</v>
      </c>
      <c r="H1205" s="3" t="n">
        <v>14.45</v>
      </c>
      <c r="I1205" s="3" t="n">
        <v>10.58</v>
      </c>
      <c r="J1205" s="3" t="n">
        <v>165.14</v>
      </c>
    </row>
    <row r="1206">
      <c r="A1206" s="8" t="n">
        <v>46191</v>
      </c>
      <c r="B1206" s="3" t="n">
        <v>12.33</v>
      </c>
      <c r="C1206" s="3" t="n">
        <v>45.81</v>
      </c>
      <c r="D1206" s="3" t="n">
        <v>79.94</v>
      </c>
      <c r="E1206" s="3" t="n">
        <v>16.22</v>
      </c>
      <c r="F1206" s="3" t="n">
        <v>39.44</v>
      </c>
      <c r="G1206" s="3" t="n">
        <v>14.33</v>
      </c>
      <c r="H1206" s="3" t="n">
        <v>13.99</v>
      </c>
      <c r="I1206" s="3" t="n">
        <v>10.58</v>
      </c>
      <c r="J1206" s="3" t="n">
        <v>165.38</v>
      </c>
    </row>
    <row r="1207">
      <c r="A1207" s="8" t="n">
        <v>46192</v>
      </c>
      <c r="B1207" s="3" t="n">
        <v>12.45</v>
      </c>
      <c r="C1207" s="3" t="n">
        <v>45.16</v>
      </c>
      <c r="D1207" s="3" t="n">
        <v>80.75</v>
      </c>
      <c r="E1207" s="3" t="n">
        <v>16.05</v>
      </c>
      <c r="F1207" s="3" t="n">
        <v>38.9</v>
      </c>
      <c r="G1207" s="3" t="n">
        <v>14.41</v>
      </c>
      <c r="H1207" s="3" t="n">
        <v>14.29</v>
      </c>
      <c r="I1207" s="3" t="n">
        <v>10.31</v>
      </c>
      <c r="J1207" s="3" t="n">
        <v>165.13</v>
      </c>
    </row>
    <row r="1208">
      <c r="A1208" s="8" t="n">
        <v>46195</v>
      </c>
      <c r="B1208" s="3" t="n">
        <v>12.47</v>
      </c>
      <c r="C1208" s="3" t="n">
        <v>45.25</v>
      </c>
      <c r="D1208" s="3" t="n">
        <v>80.91</v>
      </c>
      <c r="E1208" s="3" t="n">
        <v>16.17</v>
      </c>
      <c r="F1208" s="3" t="n">
        <v>38.63</v>
      </c>
      <c r="G1208" s="3" t="n">
        <v>14.7</v>
      </c>
      <c r="H1208" s="3" t="n">
        <v>14.39</v>
      </c>
      <c r="I1208" s="3" t="n">
        <v>10.61</v>
      </c>
      <c r="J1208" s="3" t="n">
        <v>167.12</v>
      </c>
    </row>
    <row r="1209">
      <c r="A1209" s="8" t="n">
        <v>46196</v>
      </c>
      <c r="B1209" s="3" t="n">
        <v>12.9</v>
      </c>
      <c r="C1209" s="3" t="n">
        <v>45.71</v>
      </c>
      <c r="D1209" s="3" t="n">
        <v>79.38</v>
      </c>
      <c r="E1209" s="3" t="n">
        <v>16.37</v>
      </c>
      <c r="F1209" s="3" t="n">
        <v>38.27</v>
      </c>
      <c r="G1209" s="3" t="n">
        <v>14.72</v>
      </c>
      <c r="H1209" s="3" t="n">
        <v>14.54</v>
      </c>
      <c r="I1209" s="3" t="n">
        <v>10.28</v>
      </c>
      <c r="J1209" s="3" t="n">
        <v>168.21</v>
      </c>
    </row>
    <row r="1210">
      <c r="A1210" s="8" t="n">
        <v>46197</v>
      </c>
      <c r="B1210" s="3" t="n">
        <v>12.98</v>
      </c>
      <c r="C1210" s="3" t="n">
        <v>46.61</v>
      </c>
      <c r="D1210" s="3" t="n">
        <v>77.73</v>
      </c>
      <c r="E1210" s="3" t="n">
        <v>16.38</v>
      </c>
      <c r="F1210" s="3" t="n">
        <v>38.68</v>
      </c>
      <c r="G1210" s="3" t="n">
        <v>14.97</v>
      </c>
      <c r="H1210" s="3" t="n">
        <v>14.5</v>
      </c>
      <c r="I1210" s="3" t="n">
        <v>10.17</v>
      </c>
      <c r="J1210" s="3" t="n">
        <v>167.61</v>
      </c>
    </row>
    <row r="1211">
      <c r="A1211" s="8" t="n">
        <v>46198</v>
      </c>
      <c r="B1211" s="3" t="n">
        <v>13.45</v>
      </c>
      <c r="C1211" s="3" t="n">
        <v>46.5</v>
      </c>
      <c r="D1211" s="3" t="n">
        <v>78.66</v>
      </c>
      <c r="E1211" s="3" t="n">
        <v>16.39</v>
      </c>
      <c r="F1211" s="3" t="n">
        <v>38.87</v>
      </c>
      <c r="G1211" s="3" t="n">
        <v>14.61</v>
      </c>
      <c r="H1211" s="3" t="n">
        <v>14.52</v>
      </c>
      <c r="I1211" s="3" t="n">
        <v>10.12</v>
      </c>
      <c r="J1211" s="3" t="n">
        <v>169</v>
      </c>
    </row>
    <row r="1212">
      <c r="A1212" s="8" t="n">
        <v>46199</v>
      </c>
      <c r="B1212" s="3" t="n">
        <v>13.69</v>
      </c>
      <c r="C1212" s="3" t="n">
        <v>46.9</v>
      </c>
      <c r="D1212" s="3" t="n">
        <v>78.15000000000001</v>
      </c>
      <c r="E1212" s="3" t="n">
        <v>16.73</v>
      </c>
      <c r="F1212" s="3" t="n">
        <v>39.17</v>
      </c>
      <c r="G1212" s="3" t="n">
        <v>14.92</v>
      </c>
      <c r="H1212" s="3" t="n">
        <v>14.97</v>
      </c>
      <c r="I1212" s="3" t="n">
        <v>10.24</v>
      </c>
      <c r="J1212" s="3" t="n">
        <v>170.22</v>
      </c>
    </row>
    <row r="1213">
      <c r="A1213" s="8" t="n">
        <v>46202</v>
      </c>
      <c r="B1213" s="3" t="n">
        <v>13.61</v>
      </c>
      <c r="C1213" s="3" t="n">
        <v>46.79</v>
      </c>
      <c r="D1213" s="3" t="n">
        <v>78.13</v>
      </c>
      <c r="E1213" s="3" t="n">
        <v>16.59</v>
      </c>
      <c r="F1213" s="3" t="n">
        <v>39.33</v>
      </c>
      <c r="G1213" s="3" t="n">
        <v>14.71</v>
      </c>
      <c r="H1213" s="3" t="n">
        <v>14.99</v>
      </c>
      <c r="I1213" s="3" t="n">
        <v>10.35</v>
      </c>
      <c r="J1213" s="3" t="n">
        <v>170.21</v>
      </c>
    </row>
    <row r="1214">
      <c r="A1214" s="8" t="n">
        <v>46203</v>
      </c>
      <c r="B1214" s="3" t="n">
        <v>13.43</v>
      </c>
      <c r="C1214" s="3" t="n">
        <v>46.91</v>
      </c>
      <c r="D1214" s="3" t="n">
        <v>77.88</v>
      </c>
      <c r="E1214" s="3" t="n">
        <v>16.29</v>
      </c>
      <c r="F1214" s="3" t="n">
        <v>39.17</v>
      </c>
      <c r="G1214" s="3" t="n">
        <v>14.53</v>
      </c>
      <c r="H1214" s="3" t="n">
        <v>14.76</v>
      </c>
      <c r="I1214" s="3" t="n">
        <v>10.21</v>
      </c>
      <c r="J1214" s="3" t="n">
        <v>169.05</v>
      </c>
    </row>
    <row r="1215">
      <c r="A1215" s="8" t="n">
        <v>46204</v>
      </c>
      <c r="B1215" s="3" t="n">
        <v>13.17</v>
      </c>
      <c r="C1215" s="3" t="n">
        <v>46.26</v>
      </c>
      <c r="D1215" s="3" t="n">
        <v>77.97</v>
      </c>
      <c r="E1215" s="3" t="n">
        <v>16.2</v>
      </c>
      <c r="F1215" s="3" t="n">
        <v>38.13</v>
      </c>
      <c r="G1215" s="3" t="n">
        <v>14.4</v>
      </c>
      <c r="H1215" s="3" t="n">
        <v>14.86</v>
      </c>
      <c r="I1215" s="3" t="n">
        <v>10.55</v>
      </c>
      <c r="J1215" s="3" t="n">
        <v>168.8</v>
      </c>
    </row>
    <row r="1216">
      <c r="A1216" s="8" t="n">
        <v>46205</v>
      </c>
      <c r="B1216" s="3" t="n">
        <v>13.45</v>
      </c>
      <c r="C1216" s="3" t="n">
        <v>46.26</v>
      </c>
      <c r="D1216" s="3" t="n">
        <v>78.23999999999999</v>
      </c>
      <c r="E1216" s="3" t="n">
        <v>16.3</v>
      </c>
      <c r="F1216" s="3" t="n">
        <v>38.67</v>
      </c>
      <c r="G1216" s="3" t="n">
        <v>14.61</v>
      </c>
      <c r="H1216" s="3" t="n">
        <v>14.8</v>
      </c>
      <c r="I1216" s="3" t="n">
        <v>10.41</v>
      </c>
      <c r="J1216" s="3" t="n">
        <v>169.9</v>
      </c>
    </row>
    <row r="1217">
      <c r="A1217" s="8" t="n">
        <v>46206</v>
      </c>
      <c r="B1217" s="3" t="n">
        <v>13.63</v>
      </c>
      <c r="C1217" s="3" t="n">
        <v>46.48</v>
      </c>
      <c r="D1217" s="3" t="n">
        <v>78.84</v>
      </c>
      <c r="E1217" s="3" t="n">
        <v>16.29</v>
      </c>
      <c r="F1217" s="3" t="n">
        <v>38.65</v>
      </c>
      <c r="G1217" s="3" t="n">
        <v>14.76</v>
      </c>
      <c r="H1217" s="3" t="n">
        <v>14.8</v>
      </c>
      <c r="I1217" s="3" t="n">
        <v>10.63</v>
      </c>
      <c r="J1217" s="3" t="n">
        <v>171.11</v>
      </c>
    </row>
    <row r="1218">
      <c r="A1218" s="8" t="n">
        <v>46209</v>
      </c>
      <c r="B1218" s="3" t="n">
        <v>13.5</v>
      </c>
      <c r="C1218" s="3" t="n">
        <v>46.26</v>
      </c>
      <c r="D1218" s="3" t="n">
        <v>77.79000000000001</v>
      </c>
      <c r="E1218" s="3" t="n">
        <v>15.88</v>
      </c>
      <c r="F1218" s="3" t="n">
        <v>38.71</v>
      </c>
      <c r="G1218" s="3" t="n">
        <v>14.58</v>
      </c>
      <c r="H1218" s="3" t="n">
        <v>14.09</v>
      </c>
      <c r="I1218" s="3" t="n">
        <v>10.38</v>
      </c>
      <c r="J1218" s="3" t="n">
        <v>169.25</v>
      </c>
    </row>
    <row r="1219">
      <c r="A1219" s="8" t="n">
        <v>46210</v>
      </c>
      <c r="B1219" s="3" t="n">
        <v>13.5</v>
      </c>
      <c r="C1219" s="3" t="n">
        <v>45.87</v>
      </c>
      <c r="D1219" s="3" t="n">
        <v>76.2</v>
      </c>
      <c r="E1219" s="3" t="n">
        <v>15.61</v>
      </c>
      <c r="F1219" s="3" t="n">
        <v>38.55</v>
      </c>
      <c r="G1219" s="3" t="n">
        <v>14.53</v>
      </c>
      <c r="H1219" s="3" t="n">
        <v>13.65</v>
      </c>
      <c r="I1219" s="3" t="n">
        <v>10.19</v>
      </c>
      <c r="J1219" s="3" t="n">
        <v>169.03</v>
      </c>
    </row>
    <row r="1220">
      <c r="A1220" s="8" t="n">
        <v>46211</v>
      </c>
      <c r="B1220" s="3" t="n">
        <v>13.25</v>
      </c>
      <c r="C1220" s="3" t="n">
        <v>45.35</v>
      </c>
      <c r="D1220" s="3" t="n">
        <v>72.7</v>
      </c>
      <c r="E1220" s="3" t="n">
        <v>15.62</v>
      </c>
      <c r="F1220" s="3" t="n">
        <v>38.75</v>
      </c>
      <c r="G1220" s="3" t="n">
        <v>14.24</v>
      </c>
      <c r="H1220" s="3" t="n">
        <v>13.71</v>
      </c>
      <c r="I1220" s="3" t="n">
        <v>9.960000000000001</v>
      </c>
      <c r="J1220" s="3" t="n">
        <v>167.56</v>
      </c>
    </row>
    <row r="1221">
      <c r="A1221" s="8" t="n">
        <v>46212</v>
      </c>
      <c r="B1221" s="3" t="n">
        <v>13.75</v>
      </c>
      <c r="C1221" s="3" t="n">
        <v>45.74</v>
      </c>
      <c r="D1221" s="3" t="n">
        <v>73.15000000000001</v>
      </c>
      <c r="E1221" s="3" t="n">
        <v>15.72</v>
      </c>
      <c r="F1221" s="3" t="n">
        <v>39.28</v>
      </c>
      <c r="G1221" s="3" t="n">
        <v>14.79</v>
      </c>
      <c r="H1221" s="3" t="n">
        <v>14.15</v>
      </c>
      <c r="I1221" s="3" t="n">
        <v>10.07</v>
      </c>
      <c r="J1221" s="3" t="n">
        <v>169.8</v>
      </c>
    </row>
    <row r="1222">
      <c r="A1222" s="8" t="n">
        <v>46213</v>
      </c>
      <c r="B1222" s="3" t="n">
        <v>14.36</v>
      </c>
      <c r="C1222" s="3" t="n">
        <v>46.51</v>
      </c>
      <c r="D1222" s="3" t="n">
        <v>74.18000000000001</v>
      </c>
      <c r="E1222" s="3" t="n">
        <v>15.82</v>
      </c>
      <c r="F1222" s="3" t="n">
        <v>40.35</v>
      </c>
      <c r="G1222" s="3" t="n">
        <v>15.42</v>
      </c>
      <c r="H1222" s="3" t="n">
        <v>14.62</v>
      </c>
      <c r="I1222" s="3" t="n">
        <v>10.6</v>
      </c>
      <c r="J1222" s="3" t="n">
        <v>175.01</v>
      </c>
    </row>
    <row r="1223">
      <c r="A1223" s="8" t="n">
        <v>46216</v>
      </c>
      <c r="B1223" s="3" t="n">
        <v>14.11</v>
      </c>
      <c r="C1223" s="3" t="n">
        <v>44.39</v>
      </c>
      <c r="D1223" s="3" t="n">
        <v>72.84999999999999</v>
      </c>
      <c r="E1223" s="3" t="n">
        <v>15.83</v>
      </c>
      <c r="F1223" s="3" t="n">
        <v>40.28</v>
      </c>
      <c r="G1223" s="3" t="n">
        <v>15.12</v>
      </c>
      <c r="H1223" s="3" t="n">
        <v>14.15</v>
      </c>
      <c r="I1223" s="3" t="n">
        <v>10.46</v>
      </c>
      <c r="J1223" s="3" t="n">
        <v>172.25</v>
      </c>
    </row>
    <row r="1224">
      <c r="A1224" s="8" t="n">
        <v>46217</v>
      </c>
      <c r="B1224" s="3" t="n">
        <v>14.13</v>
      </c>
      <c r="C1224" s="3" t="n">
        <v>44.2</v>
      </c>
      <c r="D1224" s="3" t="n">
        <v>74.01000000000001</v>
      </c>
      <c r="E1224" s="3" t="n">
        <v>15.81</v>
      </c>
      <c r="F1224" s="3" t="n">
        <v>40.39</v>
      </c>
      <c r="G1224" s="3" t="n">
        <v>15.33</v>
      </c>
      <c r="H1224" s="3" t="n">
        <v>14.29</v>
      </c>
      <c r="I1224" s="3" t="n">
        <v>11.19</v>
      </c>
      <c r="J1224" s="3" t="n">
        <v>173.6</v>
      </c>
    </row>
    <row r="1225">
      <c r="A1225" s="8" t="n">
        <v>46218</v>
      </c>
      <c r="B1225" s="3" t="n">
        <v>14.07</v>
      </c>
      <c r="C1225" s="3" t="n">
        <v>44.26</v>
      </c>
      <c r="D1225" s="3" t="n">
        <v>74.51000000000001</v>
      </c>
      <c r="E1225" s="3" t="n">
        <v>15.57</v>
      </c>
      <c r="F1225" s="3" t="n">
        <v>40.71</v>
      </c>
      <c r="G1225" s="3" t="n">
        <v>15.69</v>
      </c>
      <c r="H1225" s="3" t="n">
        <v>14.1</v>
      </c>
      <c r="I1225" s="3" t="n">
        <v>10.99</v>
      </c>
      <c r="J1225" s="3" t="n">
        <v>172.76</v>
      </c>
    </row>
    <row r="1226">
      <c r="A1226" s="8" t="n">
        <v>46219</v>
      </c>
      <c r="B1226" s="3" t="n">
        <v>13.93</v>
      </c>
      <c r="C1226" s="3" t="n">
        <v>43.49</v>
      </c>
      <c r="D1226" s="3" t="n">
        <v>72.98</v>
      </c>
      <c r="E1226" s="3" t="n">
        <v>15.6</v>
      </c>
      <c r="F1226" s="3" t="n">
        <v>41.18</v>
      </c>
      <c r="G1226" s="3" t="n">
        <v>15.39</v>
      </c>
      <c r="H1226" s="3" t="n">
        <v>13.65</v>
      </c>
      <c r="I1226" s="3" t="n">
        <v>10.95</v>
      </c>
      <c r="J1226" s="3" t="n">
        <v>170.77</v>
      </c>
    </row>
    <row r="1227">
      <c r="A1227" s="8" t="n">
        <v>46220</v>
      </c>
      <c r="B1227" s="3" t="n">
        <v>13.7</v>
      </c>
      <c r="C1227" s="3" t="n">
        <v>43.63</v>
      </c>
      <c r="D1227" s="3" t="n">
        <v>72.94</v>
      </c>
      <c r="E1227" s="3" t="n">
        <v>15.63</v>
      </c>
      <c r="F1227" s="3" t="n">
        <v>41.12</v>
      </c>
      <c r="G1227" s="3" t="n">
        <v>15.2</v>
      </c>
      <c r="H1227" s="3" t="n">
        <v>13.42</v>
      </c>
      <c r="I1227" s="3" t="n">
        <v>11.38</v>
      </c>
      <c r="J1227" s="3" t="n">
        <v>170.63</v>
      </c>
    </row>
    <row r="1228">
      <c r="A1228" s="8" t="n">
        <v>46223</v>
      </c>
      <c r="B1228" s="3" t="n">
        <v>13.57</v>
      </c>
      <c r="C1228" s="3" t="n">
        <v>43.13</v>
      </c>
      <c r="D1228" s="3" t="n">
        <v>71.93000000000001</v>
      </c>
      <c r="E1228" s="3" t="n">
        <v>15.79</v>
      </c>
      <c r="F1228" s="3" t="n">
        <v>41.05</v>
      </c>
      <c r="G1228" s="3" t="n">
        <v>15.26</v>
      </c>
      <c r="H1228" s="3" t="n">
        <v>13.31</v>
      </c>
      <c r="I1228" s="3" t="n">
        <v>11.55</v>
      </c>
      <c r="J1228" s="3" t="n">
        <v>170.3</v>
      </c>
    </row>
    <row r="1229">
      <c r="A1229" s="8" t="n">
        <v>46224</v>
      </c>
      <c r="B1229" s="3" t="n">
        <v>13.24</v>
      </c>
      <c r="C1229" s="3" t="n">
        <v>42.47</v>
      </c>
      <c r="D1229" s="3" t="n">
        <v>72.23999999999999</v>
      </c>
      <c r="E1229" s="3" t="n">
        <v>15.8</v>
      </c>
      <c r="F1229" s="3" t="n">
        <v>41.55</v>
      </c>
      <c r="G1229" s="3" t="n">
        <v>15.17</v>
      </c>
      <c r="H1229" s="3" t="n">
        <v>13.27</v>
      </c>
      <c r="I1229" s="3" t="n">
        <v>11.24</v>
      </c>
      <c r="J1229" s="3" t="n">
        <v>170.34</v>
      </c>
    </row>
    <row r="1230">
      <c r="A1230" s="8" t="n">
        <v>46225</v>
      </c>
      <c r="B1230" s="3" t="n">
        <v>13.64</v>
      </c>
      <c r="C1230" s="3" t="n">
        <v>46.74</v>
      </c>
      <c r="D1230" s="3" t="n">
        <v>75.09999999999999</v>
      </c>
      <c r="E1230" s="3" t="n">
        <v>16.13</v>
      </c>
      <c r="F1230" s="3" t="n">
        <v>42.58</v>
      </c>
      <c r="G1230" s="3" t="n">
        <v>15.9</v>
      </c>
      <c r="H1230" s="3" t="n">
        <v>13.54</v>
      </c>
      <c r="I1230" s="3" t="n">
        <v>11.39</v>
      </c>
      <c r="J1230" s="3" t="n">
        <v>174.7</v>
      </c>
    </row>
    <row r="1231">
      <c r="A1231" s="8" t="n">
        <v>46226</v>
      </c>
      <c r="B1231" s="3" t="n">
        <v>13.96</v>
      </c>
      <c r="C1231" s="3" t="n">
        <v>45.67</v>
      </c>
      <c r="D1231" s="3" t="n">
        <v>75.68000000000001</v>
      </c>
      <c r="E1231" s="3" t="n">
        <v>15.92</v>
      </c>
      <c r="F1231" s="3" t="n">
        <v>42.4</v>
      </c>
      <c r="G1231" s="3" t="n">
        <v>15.65</v>
      </c>
      <c r="H1231" s="3" t="n">
        <v>13.37</v>
      </c>
      <c r="I1231" s="3" t="n">
        <v>10.47</v>
      </c>
      <c r="J1231" s="3" t="n">
        <v>173.45</v>
      </c>
    </row>
    <row r="1232">
      <c r="A1232" s="8" t="n">
        <v>46227</v>
      </c>
      <c r="B1232" s="3" t="n">
        <v>13.57</v>
      </c>
      <c r="C1232" s="3" t="n">
        <v>45.99</v>
      </c>
      <c r="D1232" s="3" t="n">
        <v>75.23999999999999</v>
      </c>
      <c r="E1232" s="3" t="n">
        <v>15.64</v>
      </c>
      <c r="F1232" s="3" t="n">
        <v>41.49</v>
      </c>
      <c r="G1232" s="3" t="n">
        <v>15.44</v>
      </c>
      <c r="H1232" s="3" t="n">
        <v>13.27</v>
      </c>
      <c r="I1232" s="3" t="n">
        <v>9.92</v>
      </c>
      <c r="J1232" s="3" t="n">
        <v>170.95</v>
      </c>
    </row>
    <row r="1233">
      <c r="A1233" s="8" t="n">
        <v>46230</v>
      </c>
      <c r="B1233" s="3" t="n">
        <v>13.8</v>
      </c>
      <c r="C1233" s="3" t="n">
        <v>46.4</v>
      </c>
      <c r="D1233" s="3" t="n">
        <v>75.69</v>
      </c>
      <c r="E1233" s="3" t="n">
        <v>15.86</v>
      </c>
      <c r="F1233" s="3" t="n">
        <v>40.54</v>
      </c>
      <c r="G1233" s="3" t="n">
        <v>15.72</v>
      </c>
      <c r="H1233" s="3" t="n">
        <v>13.73</v>
      </c>
      <c r="I1233" s="3" t="n">
        <v>10.19</v>
      </c>
      <c r="J1233" s="3" t="n">
        <v>172.75</v>
      </c>
    </row>
    <row r="1234">
      <c r="A1234" s="8" t="n">
        <v>46231</v>
      </c>
      <c r="B1234" s="3" t="n">
        <v>14.08</v>
      </c>
      <c r="C1234" s="3" t="n">
        <v>46.7</v>
      </c>
      <c r="D1234" s="3" t="n">
        <v>75.69</v>
      </c>
      <c r="E1234" s="3" t="n">
        <v>16.1</v>
      </c>
      <c r="F1234" s="3" t="n">
        <v>41.21</v>
      </c>
      <c r="G1234" s="3" t="n">
        <v>16</v>
      </c>
      <c r="H1234" s="3" t="n">
        <v>13.9</v>
      </c>
      <c r="I1234" s="3" t="n">
        <v>10.6</v>
      </c>
      <c r="J1234" s="3" t="n">
        <v>173.74</v>
      </c>
    </row>
    <row r="1235">
      <c r="A1235" s="8" t="n">
        <v>46232</v>
      </c>
      <c r="B1235" s="3" t="n">
        <v>13.95</v>
      </c>
      <c r="C1235" s="3" t="n">
        <v>45.64</v>
      </c>
      <c r="D1235" s="3" t="n">
        <v>75.05</v>
      </c>
      <c r="E1235" s="3" t="n">
        <v>15.9</v>
      </c>
      <c r="F1235" s="3" t="n">
        <v>40.92</v>
      </c>
      <c r="G1235" s="3" t="n">
        <v>15.32</v>
      </c>
      <c r="H1235" s="3" t="n">
        <v>13.36</v>
      </c>
      <c r="I1235" s="3" t="n">
        <v>10.55</v>
      </c>
      <c r="J1235" s="3" t="n">
        <v>170.55</v>
      </c>
    </row>
    <row r="1236">
      <c r="A1236" s="8" t="n">
        <v>46233</v>
      </c>
      <c r="B1236" s="3" t="n">
        <v>14.28</v>
      </c>
      <c r="C1236" s="3" t="n">
        <v>46.82</v>
      </c>
      <c r="D1236" s="3" t="n">
        <v>76.09</v>
      </c>
      <c r="E1236" s="3" t="n">
        <v>15.96</v>
      </c>
      <c r="F1236" s="3" t="n">
        <v>40.86</v>
      </c>
      <c r="G1236" s="3" t="n">
        <v>15.63</v>
      </c>
      <c r="H1236" s="3" t="n">
        <v>13.52</v>
      </c>
      <c r="I1236" s="3" t="n">
        <v>11.01</v>
      </c>
      <c r="J1236" s="3" t="n">
        <v>174.31</v>
      </c>
    </row>
    <row r="1237">
      <c r="A1237" s="8" t="n">
        <v>46234</v>
      </c>
      <c r="B1237" s="3" t="n">
        <v>14.44</v>
      </c>
      <c r="C1237" s="3" t="n">
        <v>47.2</v>
      </c>
      <c r="D1237" s="3" t="n">
        <v>76.28</v>
      </c>
      <c r="E1237" s="3" t="n">
        <v>15.99</v>
      </c>
      <c r="F1237" s="3" t="n">
        <v>41.26</v>
      </c>
      <c r="G1237" s="3" t="n">
        <v>15.73</v>
      </c>
      <c r="H1237" s="3" t="n">
        <v>13.6</v>
      </c>
      <c r="I1237" s="3" t="n">
        <v>11.28</v>
      </c>
      <c r="J1237" s="3" t="n">
        <v>175.02</v>
      </c>
    </row>
    <row r="1238">
      <c r="A1238" s="8" t="n">
        <v>46237</v>
      </c>
      <c r="B1238" s="3" t="n">
        <v>14.16</v>
      </c>
      <c r="C1238" s="3" t="n">
        <v>48.2</v>
      </c>
      <c r="D1238" s="3" t="n">
        <v>74.64</v>
      </c>
      <c r="E1238" s="3" t="n">
        <v>15.77</v>
      </c>
      <c r="F1238" s="3" t="n">
        <v>41.36</v>
      </c>
      <c r="G1238" s="3" t="n">
        <v>15.62</v>
      </c>
      <c r="H1238" s="3" t="n">
        <v>13.85</v>
      </c>
      <c r="I1238" s="3" t="n">
        <v>11.91</v>
      </c>
      <c r="J1238" s="3" t="n">
        <v>174.9</v>
      </c>
    </row>
    <row r="1239">
      <c r="A1239" s="8" t="n">
        <v>46238</v>
      </c>
      <c r="B1239" s="3" t="n">
        <v>14.12</v>
      </c>
      <c r="C1239" s="3" t="n">
        <v>49.17</v>
      </c>
      <c r="D1239" s="3" t="n">
        <v>76.31</v>
      </c>
      <c r="E1239" s="3" t="n">
        <v>15.87</v>
      </c>
      <c r="F1239" s="3" t="n">
        <v>42.07</v>
      </c>
      <c r="G1239" s="3" t="n">
        <v>15.7</v>
      </c>
      <c r="H1239" s="3" t="n">
        <v>13.67</v>
      </c>
      <c r="I1239" s="3" t="n">
        <v>11.78</v>
      </c>
      <c r="J1239" s="3" t="n">
        <v>174.85</v>
      </c>
    </row>
    <row r="1240">
      <c r="A1240" s="8" t="n">
        <v>46239</v>
      </c>
      <c r="B1240" s="3" t="n">
        <v>13.99</v>
      </c>
      <c r="C1240" s="3" t="n">
        <v>48.8</v>
      </c>
      <c r="D1240" s="3" t="n">
        <v>76.66</v>
      </c>
      <c r="E1240" s="3" t="n">
        <v>15.84</v>
      </c>
      <c r="F1240" s="3" t="n">
        <v>41.67</v>
      </c>
      <c r="G1240" s="3" t="n">
        <v>15.55</v>
      </c>
      <c r="H1240" s="3" t="n">
        <v>13.67</v>
      </c>
      <c r="I1240" s="3" t="n">
        <v>11.11</v>
      </c>
      <c r="J1240" s="3" t="n">
        <v>174.7</v>
      </c>
    </row>
    <row r="1241">
      <c r="A1241" s="8" t="n">
        <v>46240</v>
      </c>
      <c r="B1241" s="3" t="n">
        <v>13.71</v>
      </c>
      <c r="C1241" s="3" t="n">
        <v>48.4</v>
      </c>
      <c r="D1241" s="3" t="n">
        <v>75.39</v>
      </c>
      <c r="E1241" s="3" t="n">
        <v>15.66</v>
      </c>
      <c r="F1241" s="3" t="n">
        <v>40.96</v>
      </c>
      <c r="G1241" s="3" t="n">
        <v>15.36</v>
      </c>
      <c r="H1241" s="3" t="n">
        <v>13.48</v>
      </c>
      <c r="I1241" s="3" t="n">
        <v>11.13</v>
      </c>
      <c r="J1241" s="3" t="n">
        <v>172.04</v>
      </c>
    </row>
    <row r="1242">
      <c r="A1242" s="8" t="n">
        <v>46241</v>
      </c>
      <c r="B1242" s="3" t="n">
        <v>13.59</v>
      </c>
      <c r="C1242" s="3" t="n">
        <v>48.12</v>
      </c>
      <c r="D1242" s="3" t="n">
        <v>74.97</v>
      </c>
      <c r="E1242" s="3" t="n">
        <v>15.48</v>
      </c>
      <c r="F1242" s="3" t="n">
        <v>38.38</v>
      </c>
      <c r="G1242" s="3" t="n">
        <v>14.95</v>
      </c>
      <c r="H1242" s="3" t="n">
        <v>12.39</v>
      </c>
      <c r="I1242" s="3" t="n">
        <v>10.77</v>
      </c>
      <c r="J1242" s="3" t="n">
        <v>169.37</v>
      </c>
    </row>
    <row r="1243">
      <c r="A1243" s="8" t="n">
        <v>46244</v>
      </c>
      <c r="B1243" s="3" t="n">
        <v>13.22</v>
      </c>
      <c r="C1243" s="3" t="n">
        <v>47.63</v>
      </c>
      <c r="D1243" s="3" t="n">
        <v>75.93000000000001</v>
      </c>
      <c r="E1243" s="3" t="n">
        <v>15.27</v>
      </c>
      <c r="F1243" s="3" t="n">
        <v>38.23</v>
      </c>
      <c r="G1243" s="3" t="n">
        <v>14.67</v>
      </c>
      <c r="H1243" s="3" t="n">
        <v>12.12</v>
      </c>
      <c r="I1243" s="3" t="n">
        <v>10.3</v>
      </c>
      <c r="J1243" s="3" t="n">
        <v>169.27</v>
      </c>
    </row>
    <row r="1244">
      <c r="A1244" s="8" t="n">
        <v>46245</v>
      </c>
      <c r="B1244" s="3" t="n">
        <v>12.96</v>
      </c>
      <c r="C1244" s="3" t="n">
        <v>47.36</v>
      </c>
      <c r="D1244" s="3" t="n">
        <v>74.40000000000001</v>
      </c>
      <c r="E1244" s="3" t="n">
        <v>15.01</v>
      </c>
      <c r="F1244" s="3" t="n">
        <v>37.26</v>
      </c>
      <c r="G1244" s="3" t="n">
        <v>14.29</v>
      </c>
      <c r="H1244" s="3" t="n">
        <v>12.03</v>
      </c>
      <c r="I1244" s="3" t="n">
        <v>9.789999999999999</v>
      </c>
      <c r="J1244" s="3" t="n">
        <v>165.05</v>
      </c>
    </row>
    <row r="1245">
      <c r="A1245" s="8" t="n">
        <v>46246</v>
      </c>
      <c r="B1245" s="3" t="n">
        <v>12.96</v>
      </c>
      <c r="C1245" s="3" t="n">
        <v>47.64</v>
      </c>
      <c r="D1245" s="3" t="n">
        <v>73.18000000000001</v>
      </c>
      <c r="E1245" s="3" t="n">
        <v>14.85</v>
      </c>
      <c r="F1245" s="3" t="n">
        <v>37.56</v>
      </c>
      <c r="G1245" s="3" t="n">
        <v>14.24</v>
      </c>
      <c r="H1245" s="3" t="n">
        <v>11.74</v>
      </c>
      <c r="I1245" s="3" t="n">
        <v>9.58</v>
      </c>
      <c r="J1245" s="3" t="n">
        <v>164.67</v>
      </c>
    </row>
    <row r="1246">
      <c r="A1246" s="8" t="n">
        <v>46247</v>
      </c>
      <c r="B1246" s="3" t="n">
        <v>13.55</v>
      </c>
      <c r="C1246" s="3" t="n">
        <v>47.5</v>
      </c>
      <c r="D1246" s="3" t="n">
        <v>71.90000000000001</v>
      </c>
      <c r="E1246" s="3" t="n">
        <v>14.92</v>
      </c>
      <c r="F1246" s="3" t="n">
        <v>37.19</v>
      </c>
      <c r="G1246" s="3" t="n">
        <v>14.8</v>
      </c>
      <c r="H1246" s="3" t="n">
        <v>11.51</v>
      </c>
      <c r="I1246" s="3" t="n">
        <v>6.41</v>
      </c>
      <c r="J1246" s="3" t="n">
        <v>164.15</v>
      </c>
    </row>
    <row r="1247">
      <c r="A1247" s="8" t="n">
        <v>46248</v>
      </c>
      <c r="B1247" s="3" t="n">
        <v>13.67</v>
      </c>
      <c r="C1247" s="3" t="n">
        <v>47.5</v>
      </c>
      <c r="D1247" s="3" t="n">
        <v>71.3</v>
      </c>
      <c r="E1247" s="3" t="n">
        <v>14.75</v>
      </c>
      <c r="F1247" s="3" t="n">
        <v>36.95</v>
      </c>
      <c r="G1247" s="3" t="n">
        <v>14.67</v>
      </c>
      <c r="H1247" s="3" t="n">
        <v>11.21</v>
      </c>
      <c r="I1247" s="3" t="n">
        <v>6.73</v>
      </c>
      <c r="J1247" s="3" t="n">
        <v>163.9</v>
      </c>
    </row>
    <row r="1248">
      <c r="A1248" s="8" t="n">
        <v>46251</v>
      </c>
      <c r="B1248" s="3" t="n">
        <v>13.63</v>
      </c>
      <c r="C1248" s="3" t="n">
        <v>47.99</v>
      </c>
      <c r="D1248" s="3" t="n">
        <v>71.41</v>
      </c>
      <c r="E1248" s="3" t="n">
        <v>14.67</v>
      </c>
      <c r="F1248" s="3" t="n">
        <v>37.3</v>
      </c>
      <c r="G1248" s="3" t="n">
        <v>14.41</v>
      </c>
      <c r="H1248" s="3" t="n">
        <v>11.02</v>
      </c>
      <c r="I1248" s="3" t="n">
        <v>6.58</v>
      </c>
      <c r="J1248" s="3" t="n">
        <v>163.8</v>
      </c>
    </row>
    <row r="1249">
      <c r="A1249" s="8" t="n">
        <v>46252</v>
      </c>
      <c r="B1249" s="3" t="n">
        <v>13.26</v>
      </c>
      <c r="C1249" s="3" t="n">
        <v>48.47</v>
      </c>
      <c r="D1249" s="3" t="n">
        <v>71.55</v>
      </c>
      <c r="E1249" s="3" t="n">
        <v>14.73</v>
      </c>
      <c r="F1249" s="3" t="n">
        <v>37.13</v>
      </c>
      <c r="G1249" s="3" t="n">
        <v>14.3</v>
      </c>
      <c r="H1249" s="3" t="n">
        <v>10.64</v>
      </c>
      <c r="I1249" s="3" t="n">
        <v>6.78</v>
      </c>
      <c r="J1249" s="3" t="n">
        <v>163.55</v>
      </c>
    </row>
    <row r="1250">
      <c r="A1250" s="8" t="n">
        <v>46253</v>
      </c>
      <c r="B1250" s="3" t="n">
        <v>13.75</v>
      </c>
      <c r="C1250" s="3" t="n">
        <v>48.51</v>
      </c>
      <c r="D1250" s="3" t="n">
        <v>72.13</v>
      </c>
      <c r="E1250" s="3" t="n">
        <v>14.78</v>
      </c>
      <c r="F1250" s="3" t="n">
        <v>36.66</v>
      </c>
      <c r="G1250" s="3" t="n">
        <v>14.42</v>
      </c>
      <c r="H1250" s="3" t="n">
        <v>10.73</v>
      </c>
      <c r="I1250" s="3" t="n">
        <v>6.56</v>
      </c>
      <c r="J1250" s="3" t="n">
        <v>165</v>
      </c>
    </row>
    <row r="1251">
      <c r="A1251" s="8" t="n">
        <v>46254</v>
      </c>
      <c r="B1251" s="3" t="n">
        <v>13.89</v>
      </c>
      <c r="C1251" s="3" t="n">
        <v>48.4</v>
      </c>
      <c r="D1251" s="3" t="n">
        <v>74.02</v>
      </c>
      <c r="E1251" s="3" t="n">
        <v>14.9</v>
      </c>
      <c r="F1251" s="3" t="n">
        <v>36.55</v>
      </c>
      <c r="G1251" s="3" t="n">
        <v>14.34</v>
      </c>
      <c r="H1251" s="3" t="n">
        <v>10.5</v>
      </c>
      <c r="I1251" s="3" t="n">
        <v>6.09</v>
      </c>
      <c r="J1251" s="3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2" customWidth="1" min="5" max="5"/>
    <col width="15" customWidth="1" min="6" max="6"/>
  </cols>
  <sheetData>
    <row r="1">
      <c r="A1" s="1" t="inlineStr">
        <is>
          <t>A série da sua empresa</t>
        </is>
      </c>
    </row>
    <row r="2">
      <c r="A2" s="2" t="inlineStr">
        <is>
          <t>A coluna B é escolhida pelo ticker da aba Premissas.</t>
        </is>
      </c>
    </row>
    <row r="3">
      <c r="A3" s="7" t="inlineStr">
        <is>
          <t>Data</t>
        </is>
      </c>
      <c r="B3" s="7" t="inlineStr">
        <is>
          <t>Preço bruto</t>
        </is>
      </c>
      <c r="C3" s="7" t="inlineStr">
        <is>
          <t>Preço corrigido</t>
        </is>
      </c>
      <c r="D3" s="7" t="inlineStr">
        <is>
          <t>Retorno</t>
        </is>
      </c>
      <c r="E3" s="7" t="inlineStr">
        <is>
          <t>BOVA11</t>
        </is>
      </c>
      <c r="F3" s="7" t="inlineStr">
        <is>
          <t>Retorno BOVA11</t>
        </is>
      </c>
    </row>
    <row r="4">
      <c r="A4" s="9">
        <f>Precos!A4</f>
        <v/>
      </c>
      <c r="B4" s="10">
        <f>INDEX(Precos!$B4:$I4,MATCH(Premissas!$B$8,Precos!$B$3:$I$3,0))</f>
        <v/>
      </c>
      <c r="C4" s="10">
        <f>IF(AND(Premissas!$B$10&gt;1,A4&lt;Premissas!$B$9),B4*Premissas!$B$10,B4)</f>
        <v/>
      </c>
      <c r="D4" s="2" t="inlineStr">
        <is>
          <t>sem retorno</t>
        </is>
      </c>
      <c r="E4" s="10">
        <f>Precos!J4</f>
        <v/>
      </c>
      <c r="F4" s="2" t="inlineStr">
        <is>
          <t>sem retorno</t>
        </is>
      </c>
    </row>
    <row r="5">
      <c r="A5" s="9">
        <f>Precos!A5</f>
        <v/>
      </c>
      <c r="B5" s="10">
        <f>INDEX(Precos!$B5:$I5,MATCH(Premissas!$B$8,Precos!$B$3:$I$3,0))</f>
        <v/>
      </c>
      <c r="C5" s="10">
        <f>IF(AND(Premissas!$B$10&gt;1,A5&lt;Premissas!$B$9),B5*Premissas!$B$10,B5)</f>
        <v/>
      </c>
      <c r="D5" s="11">
        <f>C5/C4-1</f>
        <v/>
      </c>
      <c r="E5" s="10">
        <f>Precos!J5</f>
        <v/>
      </c>
      <c r="F5" s="11">
        <f>E5/E4-1</f>
        <v/>
      </c>
      <c r="G5" s="2" t="inlineStr">
        <is>
          <t>exemplo já preenchido: copie a fórmula para baixo até o fim da série</t>
        </is>
      </c>
    </row>
    <row r="6">
      <c r="A6" s="9">
        <f>Precos!A6</f>
        <v/>
      </c>
      <c r="B6" s="10">
        <f>INDEX(Precos!$B6:$I6,MATCH(Premissas!$B$8,Precos!$B$3:$I$3,0))</f>
        <v/>
      </c>
      <c r="C6" s="10">
        <f>IF(AND(Premissas!$B$10&gt;1,A6&lt;Premissas!$B$9),B6*Premissas!$B$10,B6)</f>
        <v/>
      </c>
      <c r="D6" s="12" t="n"/>
      <c r="E6" s="10">
        <f>Precos!J6</f>
        <v/>
      </c>
      <c r="F6" s="12" t="n"/>
    </row>
    <row r="7">
      <c r="A7" s="9">
        <f>Precos!A7</f>
        <v/>
      </c>
      <c r="B7" s="10">
        <f>INDEX(Precos!$B7:$I7,MATCH(Premissas!$B$8,Precos!$B$3:$I$3,0))</f>
        <v/>
      </c>
      <c r="C7" s="10">
        <f>IF(AND(Premissas!$B$10&gt;1,A7&lt;Premissas!$B$9),B7*Premissas!$B$10,B7)</f>
        <v/>
      </c>
      <c r="D7" s="12" t="n"/>
      <c r="E7" s="10">
        <f>Precos!J7</f>
        <v/>
      </c>
      <c r="F7" s="12" t="n"/>
    </row>
    <row r="8">
      <c r="A8" s="9">
        <f>Precos!A8</f>
        <v/>
      </c>
      <c r="B8" s="10">
        <f>INDEX(Precos!$B8:$I8,MATCH(Premissas!$B$8,Precos!$B$3:$I$3,0))</f>
        <v/>
      </c>
      <c r="C8" s="10">
        <f>IF(AND(Premissas!$B$10&gt;1,A8&lt;Premissas!$B$9),B8*Premissas!$B$10,B8)</f>
        <v/>
      </c>
      <c r="D8" s="12" t="n"/>
      <c r="E8" s="10">
        <f>Precos!J8</f>
        <v/>
      </c>
      <c r="F8" s="12" t="n"/>
    </row>
    <row r="9">
      <c r="A9" s="9">
        <f>Precos!A9</f>
        <v/>
      </c>
      <c r="B9" s="10">
        <f>INDEX(Precos!$B9:$I9,MATCH(Premissas!$B$8,Precos!$B$3:$I$3,0))</f>
        <v/>
      </c>
      <c r="C9" s="10">
        <f>IF(AND(Premissas!$B$10&gt;1,A9&lt;Premissas!$B$9),B9*Premissas!$B$10,B9)</f>
        <v/>
      </c>
      <c r="D9" s="12" t="n"/>
      <c r="E9" s="10">
        <f>Precos!J9</f>
        <v/>
      </c>
      <c r="F9" s="12" t="n"/>
    </row>
    <row r="10">
      <c r="A10" s="9">
        <f>Precos!A10</f>
        <v/>
      </c>
      <c r="B10" s="10">
        <f>INDEX(Precos!$B10:$I10,MATCH(Premissas!$B$8,Precos!$B$3:$I$3,0))</f>
        <v/>
      </c>
      <c r="C10" s="10">
        <f>IF(AND(Premissas!$B$10&gt;1,A10&lt;Premissas!$B$9),B10*Premissas!$B$10,B10)</f>
        <v/>
      </c>
      <c r="D10" s="12" t="n"/>
      <c r="E10" s="10">
        <f>Precos!J10</f>
        <v/>
      </c>
      <c r="F10" s="12" t="n"/>
    </row>
    <row r="11">
      <c r="A11" s="9">
        <f>Precos!A11</f>
        <v/>
      </c>
      <c r="B11" s="10">
        <f>INDEX(Precos!$B11:$I11,MATCH(Premissas!$B$8,Precos!$B$3:$I$3,0))</f>
        <v/>
      </c>
      <c r="C11" s="10">
        <f>IF(AND(Premissas!$B$10&gt;1,A11&lt;Premissas!$B$9),B11*Premissas!$B$10,B11)</f>
        <v/>
      </c>
      <c r="D11" s="12" t="n"/>
      <c r="E11" s="10">
        <f>Precos!J11</f>
        <v/>
      </c>
      <c r="F11" s="12" t="n"/>
    </row>
    <row r="12">
      <c r="A12" s="9">
        <f>Precos!A12</f>
        <v/>
      </c>
      <c r="B12" s="10">
        <f>INDEX(Precos!$B12:$I12,MATCH(Premissas!$B$8,Precos!$B$3:$I$3,0))</f>
        <v/>
      </c>
      <c r="C12" s="10">
        <f>IF(AND(Premissas!$B$10&gt;1,A12&lt;Premissas!$B$9),B12*Premissas!$B$10,B12)</f>
        <v/>
      </c>
      <c r="D12" s="12" t="n"/>
      <c r="E12" s="10">
        <f>Precos!J12</f>
        <v/>
      </c>
      <c r="F12" s="12" t="n"/>
    </row>
    <row r="13">
      <c r="A13" s="9">
        <f>Precos!A13</f>
        <v/>
      </c>
      <c r="B13" s="10">
        <f>INDEX(Precos!$B13:$I13,MATCH(Premissas!$B$8,Precos!$B$3:$I$3,0))</f>
        <v/>
      </c>
      <c r="C13" s="10">
        <f>IF(AND(Premissas!$B$10&gt;1,A13&lt;Premissas!$B$9),B13*Premissas!$B$10,B13)</f>
        <v/>
      </c>
      <c r="D13" s="12" t="n"/>
      <c r="E13" s="10">
        <f>Precos!J13</f>
        <v/>
      </c>
      <c r="F13" s="12" t="n"/>
    </row>
    <row r="14">
      <c r="A14" s="9">
        <f>Precos!A14</f>
        <v/>
      </c>
      <c r="B14" s="10">
        <f>INDEX(Precos!$B14:$I14,MATCH(Premissas!$B$8,Precos!$B$3:$I$3,0))</f>
        <v/>
      </c>
      <c r="C14" s="10">
        <f>IF(AND(Premissas!$B$10&gt;1,A14&lt;Premissas!$B$9),B14*Premissas!$B$10,B14)</f>
        <v/>
      </c>
      <c r="D14" s="12" t="n"/>
      <c r="E14" s="10">
        <f>Precos!J14</f>
        <v/>
      </c>
      <c r="F14" s="12" t="n"/>
    </row>
    <row r="15">
      <c r="A15" s="9">
        <f>Precos!A15</f>
        <v/>
      </c>
      <c r="B15" s="10">
        <f>INDEX(Precos!$B15:$I15,MATCH(Premissas!$B$8,Precos!$B$3:$I$3,0))</f>
        <v/>
      </c>
      <c r="C15" s="10">
        <f>IF(AND(Premissas!$B$10&gt;1,A15&lt;Premissas!$B$9),B15*Premissas!$B$10,B15)</f>
        <v/>
      </c>
      <c r="D15" s="12" t="n"/>
      <c r="E15" s="10">
        <f>Precos!J15</f>
        <v/>
      </c>
      <c r="F15" s="12" t="n"/>
    </row>
    <row r="16">
      <c r="A16" s="9">
        <f>Precos!A16</f>
        <v/>
      </c>
      <c r="B16" s="10">
        <f>INDEX(Precos!$B16:$I16,MATCH(Premissas!$B$8,Precos!$B$3:$I$3,0))</f>
        <v/>
      </c>
      <c r="C16" s="10">
        <f>IF(AND(Premissas!$B$10&gt;1,A16&lt;Premissas!$B$9),B16*Premissas!$B$10,B16)</f>
        <v/>
      </c>
      <c r="D16" s="12" t="n"/>
      <c r="E16" s="10">
        <f>Precos!J16</f>
        <v/>
      </c>
      <c r="F16" s="12" t="n"/>
    </row>
    <row r="17">
      <c r="A17" s="9">
        <f>Precos!A17</f>
        <v/>
      </c>
      <c r="B17" s="10">
        <f>INDEX(Precos!$B17:$I17,MATCH(Premissas!$B$8,Precos!$B$3:$I$3,0))</f>
        <v/>
      </c>
      <c r="C17" s="10">
        <f>IF(AND(Premissas!$B$10&gt;1,A17&lt;Premissas!$B$9),B17*Premissas!$B$10,B17)</f>
        <v/>
      </c>
      <c r="D17" s="12" t="n"/>
      <c r="E17" s="10">
        <f>Precos!J17</f>
        <v/>
      </c>
      <c r="F17" s="12" t="n"/>
    </row>
    <row r="18">
      <c r="A18" s="9">
        <f>Precos!A18</f>
        <v/>
      </c>
      <c r="B18" s="10">
        <f>INDEX(Precos!$B18:$I18,MATCH(Premissas!$B$8,Precos!$B$3:$I$3,0))</f>
        <v/>
      </c>
      <c r="C18" s="10">
        <f>IF(AND(Premissas!$B$10&gt;1,A18&lt;Premissas!$B$9),B18*Premissas!$B$10,B18)</f>
        <v/>
      </c>
      <c r="D18" s="12" t="n"/>
      <c r="E18" s="10">
        <f>Precos!J18</f>
        <v/>
      </c>
      <c r="F18" s="12" t="n"/>
    </row>
    <row r="19">
      <c r="A19" s="9">
        <f>Precos!A19</f>
        <v/>
      </c>
      <c r="B19" s="10">
        <f>INDEX(Precos!$B19:$I19,MATCH(Premissas!$B$8,Precos!$B$3:$I$3,0))</f>
        <v/>
      </c>
      <c r="C19" s="10">
        <f>IF(AND(Premissas!$B$10&gt;1,A19&lt;Premissas!$B$9),B19*Premissas!$B$10,B19)</f>
        <v/>
      </c>
      <c r="D19" s="12" t="n"/>
      <c r="E19" s="10">
        <f>Precos!J19</f>
        <v/>
      </c>
      <c r="F19" s="12" t="n"/>
    </row>
    <row r="20">
      <c r="A20" s="9">
        <f>Precos!A20</f>
        <v/>
      </c>
      <c r="B20" s="10">
        <f>INDEX(Precos!$B20:$I20,MATCH(Premissas!$B$8,Precos!$B$3:$I$3,0))</f>
        <v/>
      </c>
      <c r="C20" s="10">
        <f>IF(AND(Premissas!$B$10&gt;1,A20&lt;Premissas!$B$9),B20*Premissas!$B$10,B20)</f>
        <v/>
      </c>
      <c r="D20" s="12" t="n"/>
      <c r="E20" s="10">
        <f>Precos!J20</f>
        <v/>
      </c>
      <c r="F20" s="12" t="n"/>
    </row>
    <row r="21">
      <c r="A21" s="9">
        <f>Precos!A21</f>
        <v/>
      </c>
      <c r="B21" s="10">
        <f>INDEX(Precos!$B21:$I21,MATCH(Premissas!$B$8,Precos!$B$3:$I$3,0))</f>
        <v/>
      </c>
      <c r="C21" s="10">
        <f>IF(AND(Premissas!$B$10&gt;1,A21&lt;Premissas!$B$9),B21*Premissas!$B$10,B21)</f>
        <v/>
      </c>
      <c r="D21" s="12" t="n"/>
      <c r="E21" s="10">
        <f>Precos!J21</f>
        <v/>
      </c>
      <c r="F21" s="12" t="n"/>
    </row>
    <row r="22">
      <c r="A22" s="9">
        <f>Precos!A22</f>
        <v/>
      </c>
      <c r="B22" s="10">
        <f>INDEX(Precos!$B22:$I22,MATCH(Premissas!$B$8,Precos!$B$3:$I$3,0))</f>
        <v/>
      </c>
      <c r="C22" s="10">
        <f>IF(AND(Premissas!$B$10&gt;1,A22&lt;Premissas!$B$9),B22*Premissas!$B$10,B22)</f>
        <v/>
      </c>
      <c r="D22" s="12" t="n"/>
      <c r="E22" s="10">
        <f>Precos!J22</f>
        <v/>
      </c>
      <c r="F22" s="12" t="n"/>
    </row>
    <row r="23">
      <c r="A23" s="9">
        <f>Precos!A23</f>
        <v/>
      </c>
      <c r="B23" s="10">
        <f>INDEX(Precos!$B23:$I23,MATCH(Premissas!$B$8,Precos!$B$3:$I$3,0))</f>
        <v/>
      </c>
      <c r="C23" s="10">
        <f>IF(AND(Premissas!$B$10&gt;1,A23&lt;Premissas!$B$9),B23*Premissas!$B$10,B23)</f>
        <v/>
      </c>
      <c r="D23" s="12" t="n"/>
      <c r="E23" s="10">
        <f>Precos!J23</f>
        <v/>
      </c>
      <c r="F23" s="12" t="n"/>
    </row>
    <row r="24">
      <c r="A24" s="9">
        <f>Precos!A24</f>
        <v/>
      </c>
      <c r="B24" s="10">
        <f>INDEX(Precos!$B24:$I24,MATCH(Premissas!$B$8,Precos!$B$3:$I$3,0))</f>
        <v/>
      </c>
      <c r="C24" s="10">
        <f>IF(AND(Premissas!$B$10&gt;1,A24&lt;Premissas!$B$9),B24*Premissas!$B$10,B24)</f>
        <v/>
      </c>
      <c r="D24" s="12" t="n"/>
      <c r="E24" s="10">
        <f>Precos!J24</f>
        <v/>
      </c>
      <c r="F24" s="12" t="n"/>
    </row>
    <row r="25">
      <c r="A25" s="9">
        <f>Precos!A25</f>
        <v/>
      </c>
      <c r="B25" s="10">
        <f>INDEX(Precos!$B25:$I25,MATCH(Premissas!$B$8,Precos!$B$3:$I$3,0))</f>
        <v/>
      </c>
      <c r="C25" s="10">
        <f>IF(AND(Premissas!$B$10&gt;1,A25&lt;Premissas!$B$9),B25*Premissas!$B$10,B25)</f>
        <v/>
      </c>
      <c r="D25" s="12" t="n"/>
      <c r="E25" s="10">
        <f>Precos!J25</f>
        <v/>
      </c>
      <c r="F25" s="12" t="n"/>
    </row>
    <row r="26">
      <c r="A26" s="9">
        <f>Precos!A26</f>
        <v/>
      </c>
      <c r="B26" s="10">
        <f>INDEX(Precos!$B26:$I26,MATCH(Premissas!$B$8,Precos!$B$3:$I$3,0))</f>
        <v/>
      </c>
      <c r="C26" s="10">
        <f>IF(AND(Premissas!$B$10&gt;1,A26&lt;Premissas!$B$9),B26*Premissas!$B$10,B26)</f>
        <v/>
      </c>
      <c r="D26" s="12" t="n"/>
      <c r="E26" s="10">
        <f>Precos!J26</f>
        <v/>
      </c>
      <c r="F26" s="12" t="n"/>
    </row>
    <row r="27">
      <c r="A27" s="9">
        <f>Precos!A27</f>
        <v/>
      </c>
      <c r="B27" s="10">
        <f>INDEX(Precos!$B27:$I27,MATCH(Premissas!$B$8,Precos!$B$3:$I$3,0))</f>
        <v/>
      </c>
      <c r="C27" s="10">
        <f>IF(AND(Premissas!$B$10&gt;1,A27&lt;Premissas!$B$9),B27*Premissas!$B$10,B27)</f>
        <v/>
      </c>
      <c r="D27" s="12" t="n"/>
      <c r="E27" s="10">
        <f>Precos!J27</f>
        <v/>
      </c>
      <c r="F27" s="12" t="n"/>
    </row>
    <row r="28">
      <c r="A28" s="9">
        <f>Precos!A28</f>
        <v/>
      </c>
      <c r="B28" s="10">
        <f>INDEX(Precos!$B28:$I28,MATCH(Premissas!$B$8,Precos!$B$3:$I$3,0))</f>
        <v/>
      </c>
      <c r="C28" s="10">
        <f>IF(AND(Premissas!$B$10&gt;1,A28&lt;Premissas!$B$9),B28*Premissas!$B$10,B28)</f>
        <v/>
      </c>
      <c r="D28" s="12" t="n"/>
      <c r="E28" s="10">
        <f>Precos!J28</f>
        <v/>
      </c>
      <c r="F28" s="12" t="n"/>
    </row>
    <row r="29">
      <c r="A29" s="9">
        <f>Precos!A29</f>
        <v/>
      </c>
      <c r="B29" s="10">
        <f>INDEX(Precos!$B29:$I29,MATCH(Premissas!$B$8,Precos!$B$3:$I$3,0))</f>
        <v/>
      </c>
      <c r="C29" s="10">
        <f>IF(AND(Premissas!$B$10&gt;1,A29&lt;Premissas!$B$9),B29*Premissas!$B$10,B29)</f>
        <v/>
      </c>
      <c r="D29" s="12" t="n"/>
      <c r="E29" s="10">
        <f>Precos!J29</f>
        <v/>
      </c>
      <c r="F29" s="12" t="n"/>
    </row>
    <row r="30">
      <c r="A30" s="9">
        <f>Precos!A30</f>
        <v/>
      </c>
      <c r="B30" s="10">
        <f>INDEX(Precos!$B30:$I30,MATCH(Premissas!$B$8,Precos!$B$3:$I$3,0))</f>
        <v/>
      </c>
      <c r="C30" s="10">
        <f>IF(AND(Premissas!$B$10&gt;1,A30&lt;Premissas!$B$9),B30*Premissas!$B$10,B30)</f>
        <v/>
      </c>
      <c r="D30" s="12" t="n"/>
      <c r="E30" s="10">
        <f>Precos!J30</f>
        <v/>
      </c>
      <c r="F30" s="12" t="n"/>
    </row>
    <row r="31">
      <c r="A31" s="9">
        <f>Precos!A31</f>
        <v/>
      </c>
      <c r="B31" s="10">
        <f>INDEX(Precos!$B31:$I31,MATCH(Premissas!$B$8,Precos!$B$3:$I$3,0))</f>
        <v/>
      </c>
      <c r="C31" s="10">
        <f>IF(AND(Premissas!$B$10&gt;1,A31&lt;Premissas!$B$9),B31*Premissas!$B$10,B31)</f>
        <v/>
      </c>
      <c r="D31" s="12" t="n"/>
      <c r="E31" s="10">
        <f>Precos!J31</f>
        <v/>
      </c>
      <c r="F31" s="12" t="n"/>
    </row>
    <row r="32">
      <c r="A32" s="9">
        <f>Precos!A32</f>
        <v/>
      </c>
      <c r="B32" s="10">
        <f>INDEX(Precos!$B32:$I32,MATCH(Premissas!$B$8,Precos!$B$3:$I$3,0))</f>
        <v/>
      </c>
      <c r="C32" s="10">
        <f>IF(AND(Premissas!$B$10&gt;1,A32&lt;Premissas!$B$9),B32*Premissas!$B$10,B32)</f>
        <v/>
      </c>
      <c r="D32" s="12" t="n"/>
      <c r="E32" s="10">
        <f>Precos!J32</f>
        <v/>
      </c>
      <c r="F32" s="12" t="n"/>
    </row>
    <row r="33">
      <c r="A33" s="9">
        <f>Precos!A33</f>
        <v/>
      </c>
      <c r="B33" s="10">
        <f>INDEX(Precos!$B33:$I33,MATCH(Premissas!$B$8,Precos!$B$3:$I$3,0))</f>
        <v/>
      </c>
      <c r="C33" s="10">
        <f>IF(AND(Premissas!$B$10&gt;1,A33&lt;Premissas!$B$9),B33*Premissas!$B$10,B33)</f>
        <v/>
      </c>
      <c r="D33" s="12" t="n"/>
      <c r="E33" s="10">
        <f>Precos!J33</f>
        <v/>
      </c>
      <c r="F33" s="12" t="n"/>
    </row>
    <row r="34">
      <c r="A34" s="9">
        <f>Precos!A34</f>
        <v/>
      </c>
      <c r="B34" s="10">
        <f>INDEX(Precos!$B34:$I34,MATCH(Premissas!$B$8,Precos!$B$3:$I$3,0))</f>
        <v/>
      </c>
      <c r="C34" s="10">
        <f>IF(AND(Premissas!$B$10&gt;1,A34&lt;Premissas!$B$9),B34*Premissas!$B$10,B34)</f>
        <v/>
      </c>
      <c r="D34" s="12" t="n"/>
      <c r="E34" s="10">
        <f>Precos!J34</f>
        <v/>
      </c>
      <c r="F34" s="12" t="n"/>
    </row>
    <row r="35">
      <c r="A35" s="9">
        <f>Precos!A35</f>
        <v/>
      </c>
      <c r="B35" s="10">
        <f>INDEX(Precos!$B35:$I35,MATCH(Premissas!$B$8,Precos!$B$3:$I$3,0))</f>
        <v/>
      </c>
      <c r="C35" s="10">
        <f>IF(AND(Premissas!$B$10&gt;1,A35&lt;Premissas!$B$9),B35*Premissas!$B$10,B35)</f>
        <v/>
      </c>
      <c r="D35" s="12" t="n"/>
      <c r="E35" s="10">
        <f>Precos!J35</f>
        <v/>
      </c>
      <c r="F35" s="12" t="n"/>
    </row>
    <row r="36">
      <c r="A36" s="9">
        <f>Precos!A36</f>
        <v/>
      </c>
      <c r="B36" s="10">
        <f>INDEX(Precos!$B36:$I36,MATCH(Premissas!$B$8,Precos!$B$3:$I$3,0))</f>
        <v/>
      </c>
      <c r="C36" s="10">
        <f>IF(AND(Premissas!$B$10&gt;1,A36&lt;Premissas!$B$9),B36*Premissas!$B$10,B36)</f>
        <v/>
      </c>
      <c r="D36" s="12" t="n"/>
      <c r="E36" s="10">
        <f>Precos!J36</f>
        <v/>
      </c>
      <c r="F36" s="12" t="n"/>
    </row>
    <row r="37">
      <c r="A37" s="9">
        <f>Precos!A37</f>
        <v/>
      </c>
      <c r="B37" s="10">
        <f>INDEX(Precos!$B37:$I37,MATCH(Premissas!$B$8,Precos!$B$3:$I$3,0))</f>
        <v/>
      </c>
      <c r="C37" s="10">
        <f>IF(AND(Premissas!$B$10&gt;1,A37&lt;Premissas!$B$9),B37*Premissas!$B$10,B37)</f>
        <v/>
      </c>
      <c r="D37" s="12" t="n"/>
      <c r="E37" s="10">
        <f>Precos!J37</f>
        <v/>
      </c>
      <c r="F37" s="12" t="n"/>
    </row>
    <row r="38">
      <c r="A38" s="9">
        <f>Precos!A38</f>
        <v/>
      </c>
      <c r="B38" s="10">
        <f>INDEX(Precos!$B38:$I38,MATCH(Premissas!$B$8,Precos!$B$3:$I$3,0))</f>
        <v/>
      </c>
      <c r="C38" s="10">
        <f>IF(AND(Premissas!$B$10&gt;1,A38&lt;Premissas!$B$9),B38*Premissas!$B$10,B38)</f>
        <v/>
      </c>
      <c r="D38" s="12" t="n"/>
      <c r="E38" s="10">
        <f>Precos!J38</f>
        <v/>
      </c>
      <c r="F38" s="12" t="n"/>
    </row>
    <row r="39">
      <c r="A39" s="9">
        <f>Precos!A39</f>
        <v/>
      </c>
      <c r="B39" s="10">
        <f>INDEX(Precos!$B39:$I39,MATCH(Premissas!$B$8,Precos!$B$3:$I$3,0))</f>
        <v/>
      </c>
      <c r="C39" s="10">
        <f>IF(AND(Premissas!$B$10&gt;1,A39&lt;Premissas!$B$9),B39*Premissas!$B$10,B39)</f>
        <v/>
      </c>
      <c r="D39" s="12" t="n"/>
      <c r="E39" s="10">
        <f>Precos!J39</f>
        <v/>
      </c>
      <c r="F39" s="12" t="n"/>
    </row>
    <row r="40">
      <c r="A40" s="9">
        <f>Precos!A40</f>
        <v/>
      </c>
      <c r="B40" s="10">
        <f>INDEX(Precos!$B40:$I40,MATCH(Premissas!$B$8,Precos!$B$3:$I$3,0))</f>
        <v/>
      </c>
      <c r="C40" s="10">
        <f>IF(AND(Premissas!$B$10&gt;1,A40&lt;Premissas!$B$9),B40*Premissas!$B$10,B40)</f>
        <v/>
      </c>
      <c r="D40" s="12" t="n"/>
      <c r="E40" s="10">
        <f>Precos!J40</f>
        <v/>
      </c>
      <c r="F40" s="12" t="n"/>
    </row>
    <row r="41">
      <c r="A41" s="9">
        <f>Precos!A41</f>
        <v/>
      </c>
      <c r="B41" s="10">
        <f>INDEX(Precos!$B41:$I41,MATCH(Premissas!$B$8,Precos!$B$3:$I$3,0))</f>
        <v/>
      </c>
      <c r="C41" s="10">
        <f>IF(AND(Premissas!$B$10&gt;1,A41&lt;Premissas!$B$9),B41*Premissas!$B$10,B41)</f>
        <v/>
      </c>
      <c r="D41" s="12" t="n"/>
      <c r="E41" s="10">
        <f>Precos!J41</f>
        <v/>
      </c>
      <c r="F41" s="12" t="n"/>
    </row>
    <row r="42">
      <c r="A42" s="9">
        <f>Precos!A42</f>
        <v/>
      </c>
      <c r="B42" s="10">
        <f>INDEX(Precos!$B42:$I42,MATCH(Premissas!$B$8,Precos!$B$3:$I$3,0))</f>
        <v/>
      </c>
      <c r="C42" s="10">
        <f>IF(AND(Premissas!$B$10&gt;1,A42&lt;Premissas!$B$9),B42*Premissas!$B$10,B42)</f>
        <v/>
      </c>
      <c r="D42" s="12" t="n"/>
      <c r="E42" s="10">
        <f>Precos!J42</f>
        <v/>
      </c>
      <c r="F42" s="12" t="n"/>
    </row>
    <row r="43">
      <c r="A43" s="9">
        <f>Precos!A43</f>
        <v/>
      </c>
      <c r="B43" s="10">
        <f>INDEX(Precos!$B43:$I43,MATCH(Premissas!$B$8,Precos!$B$3:$I$3,0))</f>
        <v/>
      </c>
      <c r="C43" s="10">
        <f>IF(AND(Premissas!$B$10&gt;1,A43&lt;Premissas!$B$9),B43*Premissas!$B$10,B43)</f>
        <v/>
      </c>
      <c r="D43" s="12" t="n"/>
      <c r="E43" s="10">
        <f>Precos!J43</f>
        <v/>
      </c>
      <c r="F43" s="12" t="n"/>
    </row>
    <row r="44">
      <c r="A44" s="9">
        <f>Precos!A44</f>
        <v/>
      </c>
      <c r="B44" s="10">
        <f>INDEX(Precos!$B44:$I44,MATCH(Premissas!$B$8,Precos!$B$3:$I$3,0))</f>
        <v/>
      </c>
      <c r="C44" s="10">
        <f>IF(AND(Premissas!$B$10&gt;1,A44&lt;Premissas!$B$9),B44*Premissas!$B$10,B44)</f>
        <v/>
      </c>
      <c r="D44" s="12" t="n"/>
      <c r="E44" s="10">
        <f>Precos!J44</f>
        <v/>
      </c>
      <c r="F44" s="12" t="n"/>
    </row>
    <row r="45">
      <c r="A45" s="9">
        <f>Precos!A45</f>
        <v/>
      </c>
      <c r="B45" s="10">
        <f>INDEX(Precos!$B45:$I45,MATCH(Premissas!$B$8,Precos!$B$3:$I$3,0))</f>
        <v/>
      </c>
      <c r="C45" s="10">
        <f>IF(AND(Premissas!$B$10&gt;1,A45&lt;Premissas!$B$9),B45*Premissas!$B$10,B45)</f>
        <v/>
      </c>
      <c r="D45" s="12" t="n"/>
      <c r="E45" s="10">
        <f>Precos!J45</f>
        <v/>
      </c>
      <c r="F45" s="12" t="n"/>
    </row>
    <row r="46">
      <c r="A46" s="9">
        <f>Precos!A46</f>
        <v/>
      </c>
      <c r="B46" s="10">
        <f>INDEX(Precos!$B46:$I46,MATCH(Premissas!$B$8,Precos!$B$3:$I$3,0))</f>
        <v/>
      </c>
      <c r="C46" s="10">
        <f>IF(AND(Premissas!$B$10&gt;1,A46&lt;Premissas!$B$9),B46*Premissas!$B$10,B46)</f>
        <v/>
      </c>
      <c r="D46" s="12" t="n"/>
      <c r="E46" s="10">
        <f>Precos!J46</f>
        <v/>
      </c>
      <c r="F46" s="12" t="n"/>
    </row>
    <row r="47">
      <c r="A47" s="9">
        <f>Precos!A47</f>
        <v/>
      </c>
      <c r="B47" s="10">
        <f>INDEX(Precos!$B47:$I47,MATCH(Premissas!$B$8,Precos!$B$3:$I$3,0))</f>
        <v/>
      </c>
      <c r="C47" s="10">
        <f>IF(AND(Premissas!$B$10&gt;1,A47&lt;Premissas!$B$9),B47*Premissas!$B$10,B47)</f>
        <v/>
      </c>
      <c r="D47" s="12" t="n"/>
      <c r="E47" s="10">
        <f>Precos!J47</f>
        <v/>
      </c>
      <c r="F47" s="12" t="n"/>
    </row>
    <row r="48">
      <c r="A48" s="9">
        <f>Precos!A48</f>
        <v/>
      </c>
      <c r="B48" s="10">
        <f>INDEX(Precos!$B48:$I48,MATCH(Premissas!$B$8,Precos!$B$3:$I$3,0))</f>
        <v/>
      </c>
      <c r="C48" s="10">
        <f>IF(AND(Premissas!$B$10&gt;1,A48&lt;Premissas!$B$9),B48*Premissas!$B$10,B48)</f>
        <v/>
      </c>
      <c r="D48" s="12" t="n"/>
      <c r="E48" s="10">
        <f>Precos!J48</f>
        <v/>
      </c>
      <c r="F48" s="12" t="n"/>
    </row>
    <row r="49">
      <c r="A49" s="9">
        <f>Precos!A49</f>
        <v/>
      </c>
      <c r="B49" s="10">
        <f>INDEX(Precos!$B49:$I49,MATCH(Premissas!$B$8,Precos!$B$3:$I$3,0))</f>
        <v/>
      </c>
      <c r="C49" s="10">
        <f>IF(AND(Premissas!$B$10&gt;1,A49&lt;Premissas!$B$9),B49*Premissas!$B$10,B49)</f>
        <v/>
      </c>
      <c r="D49" s="12" t="n"/>
      <c r="E49" s="10">
        <f>Precos!J49</f>
        <v/>
      </c>
      <c r="F49" s="12" t="n"/>
    </row>
    <row r="50">
      <c r="A50" s="9">
        <f>Precos!A50</f>
        <v/>
      </c>
      <c r="B50" s="10">
        <f>INDEX(Precos!$B50:$I50,MATCH(Premissas!$B$8,Precos!$B$3:$I$3,0))</f>
        <v/>
      </c>
      <c r="C50" s="10">
        <f>IF(AND(Premissas!$B$10&gt;1,A50&lt;Premissas!$B$9),B50*Premissas!$B$10,B50)</f>
        <v/>
      </c>
      <c r="D50" s="12" t="n"/>
      <c r="E50" s="10">
        <f>Precos!J50</f>
        <v/>
      </c>
      <c r="F50" s="12" t="n"/>
    </row>
    <row r="51">
      <c r="A51" s="9">
        <f>Precos!A51</f>
        <v/>
      </c>
      <c r="B51" s="10">
        <f>INDEX(Precos!$B51:$I51,MATCH(Premissas!$B$8,Precos!$B$3:$I$3,0))</f>
        <v/>
      </c>
      <c r="C51" s="10">
        <f>IF(AND(Premissas!$B$10&gt;1,A51&lt;Premissas!$B$9),B51*Premissas!$B$10,B51)</f>
        <v/>
      </c>
      <c r="D51" s="12" t="n"/>
      <c r="E51" s="10">
        <f>Precos!J51</f>
        <v/>
      </c>
      <c r="F51" s="12" t="n"/>
    </row>
    <row r="52">
      <c r="A52" s="9">
        <f>Precos!A52</f>
        <v/>
      </c>
      <c r="B52" s="10">
        <f>INDEX(Precos!$B52:$I52,MATCH(Premissas!$B$8,Precos!$B$3:$I$3,0))</f>
        <v/>
      </c>
      <c r="C52" s="10">
        <f>IF(AND(Premissas!$B$10&gt;1,A52&lt;Premissas!$B$9),B52*Premissas!$B$10,B52)</f>
        <v/>
      </c>
      <c r="D52" s="12" t="n"/>
      <c r="E52" s="10">
        <f>Precos!J52</f>
        <v/>
      </c>
      <c r="F52" s="12" t="n"/>
    </row>
    <row r="53">
      <c r="A53" s="9">
        <f>Precos!A53</f>
        <v/>
      </c>
      <c r="B53" s="10">
        <f>INDEX(Precos!$B53:$I53,MATCH(Premissas!$B$8,Precos!$B$3:$I$3,0))</f>
        <v/>
      </c>
      <c r="C53" s="10">
        <f>IF(AND(Premissas!$B$10&gt;1,A53&lt;Premissas!$B$9),B53*Premissas!$B$10,B53)</f>
        <v/>
      </c>
      <c r="D53" s="12" t="n"/>
      <c r="E53" s="10">
        <f>Precos!J53</f>
        <v/>
      </c>
      <c r="F53" s="12" t="n"/>
    </row>
    <row r="54">
      <c r="A54" s="9">
        <f>Precos!A54</f>
        <v/>
      </c>
      <c r="B54" s="10">
        <f>INDEX(Precos!$B54:$I54,MATCH(Premissas!$B$8,Precos!$B$3:$I$3,0))</f>
        <v/>
      </c>
      <c r="C54" s="10">
        <f>IF(AND(Premissas!$B$10&gt;1,A54&lt;Premissas!$B$9),B54*Premissas!$B$10,B54)</f>
        <v/>
      </c>
      <c r="D54" s="12" t="n"/>
      <c r="E54" s="10">
        <f>Precos!J54</f>
        <v/>
      </c>
      <c r="F54" s="12" t="n"/>
    </row>
    <row r="55">
      <c r="A55" s="9">
        <f>Precos!A55</f>
        <v/>
      </c>
      <c r="B55" s="10">
        <f>INDEX(Precos!$B55:$I55,MATCH(Premissas!$B$8,Precos!$B$3:$I$3,0))</f>
        <v/>
      </c>
      <c r="C55" s="10">
        <f>IF(AND(Premissas!$B$10&gt;1,A55&lt;Premissas!$B$9),B55*Premissas!$B$10,B55)</f>
        <v/>
      </c>
      <c r="D55" s="12" t="n"/>
      <c r="E55" s="10">
        <f>Precos!J55</f>
        <v/>
      </c>
      <c r="F55" s="12" t="n"/>
    </row>
    <row r="56">
      <c r="A56" s="9">
        <f>Precos!A56</f>
        <v/>
      </c>
      <c r="B56" s="10">
        <f>INDEX(Precos!$B56:$I56,MATCH(Premissas!$B$8,Precos!$B$3:$I$3,0))</f>
        <v/>
      </c>
      <c r="C56" s="10">
        <f>IF(AND(Premissas!$B$10&gt;1,A56&lt;Premissas!$B$9),B56*Premissas!$B$10,B56)</f>
        <v/>
      </c>
      <c r="D56" s="12" t="n"/>
      <c r="E56" s="10">
        <f>Precos!J56</f>
        <v/>
      </c>
      <c r="F56" s="12" t="n"/>
    </row>
    <row r="57">
      <c r="A57" s="9">
        <f>Precos!A57</f>
        <v/>
      </c>
      <c r="B57" s="10">
        <f>INDEX(Precos!$B57:$I57,MATCH(Premissas!$B$8,Precos!$B$3:$I$3,0))</f>
        <v/>
      </c>
      <c r="C57" s="10">
        <f>IF(AND(Premissas!$B$10&gt;1,A57&lt;Premissas!$B$9),B57*Premissas!$B$10,B57)</f>
        <v/>
      </c>
      <c r="D57" s="12" t="n"/>
      <c r="E57" s="10">
        <f>Precos!J57</f>
        <v/>
      </c>
      <c r="F57" s="12" t="n"/>
    </row>
    <row r="58">
      <c r="A58" s="9">
        <f>Precos!A58</f>
        <v/>
      </c>
      <c r="B58" s="10">
        <f>INDEX(Precos!$B58:$I58,MATCH(Premissas!$B$8,Precos!$B$3:$I$3,0))</f>
        <v/>
      </c>
      <c r="C58" s="10">
        <f>IF(AND(Premissas!$B$10&gt;1,A58&lt;Premissas!$B$9),B58*Premissas!$B$10,B58)</f>
        <v/>
      </c>
      <c r="D58" s="12" t="n"/>
      <c r="E58" s="10">
        <f>Precos!J58</f>
        <v/>
      </c>
      <c r="F58" s="12" t="n"/>
    </row>
    <row r="59">
      <c r="A59" s="9">
        <f>Precos!A59</f>
        <v/>
      </c>
      <c r="B59" s="10">
        <f>INDEX(Precos!$B59:$I59,MATCH(Premissas!$B$8,Precos!$B$3:$I$3,0))</f>
        <v/>
      </c>
      <c r="C59" s="10">
        <f>IF(AND(Premissas!$B$10&gt;1,A59&lt;Premissas!$B$9),B59*Premissas!$B$10,B59)</f>
        <v/>
      </c>
      <c r="D59" s="12" t="n"/>
      <c r="E59" s="10">
        <f>Precos!J59</f>
        <v/>
      </c>
      <c r="F59" s="12" t="n"/>
    </row>
    <row r="60">
      <c r="A60" s="9">
        <f>Precos!A60</f>
        <v/>
      </c>
      <c r="B60" s="10">
        <f>INDEX(Precos!$B60:$I60,MATCH(Premissas!$B$8,Precos!$B$3:$I$3,0))</f>
        <v/>
      </c>
      <c r="C60" s="10">
        <f>IF(AND(Premissas!$B$10&gt;1,A60&lt;Premissas!$B$9),B60*Premissas!$B$10,B60)</f>
        <v/>
      </c>
      <c r="D60" s="12" t="n"/>
      <c r="E60" s="10">
        <f>Precos!J60</f>
        <v/>
      </c>
      <c r="F60" s="12" t="n"/>
    </row>
    <row r="61">
      <c r="A61" s="9">
        <f>Precos!A61</f>
        <v/>
      </c>
      <c r="B61" s="10">
        <f>INDEX(Precos!$B61:$I61,MATCH(Premissas!$B$8,Precos!$B$3:$I$3,0))</f>
        <v/>
      </c>
      <c r="C61" s="10">
        <f>IF(AND(Premissas!$B$10&gt;1,A61&lt;Premissas!$B$9),B61*Premissas!$B$10,B61)</f>
        <v/>
      </c>
      <c r="D61" s="12" t="n"/>
      <c r="E61" s="10">
        <f>Precos!J61</f>
        <v/>
      </c>
      <c r="F61" s="12" t="n"/>
    </row>
    <row r="62">
      <c r="A62" s="9">
        <f>Precos!A62</f>
        <v/>
      </c>
      <c r="B62" s="10">
        <f>INDEX(Precos!$B62:$I62,MATCH(Premissas!$B$8,Precos!$B$3:$I$3,0))</f>
        <v/>
      </c>
      <c r="C62" s="10">
        <f>IF(AND(Premissas!$B$10&gt;1,A62&lt;Premissas!$B$9),B62*Premissas!$B$10,B62)</f>
        <v/>
      </c>
      <c r="D62" s="12" t="n"/>
      <c r="E62" s="10">
        <f>Precos!J62</f>
        <v/>
      </c>
      <c r="F62" s="12" t="n"/>
    </row>
    <row r="63">
      <c r="A63" s="9">
        <f>Precos!A63</f>
        <v/>
      </c>
      <c r="B63" s="10">
        <f>INDEX(Precos!$B63:$I63,MATCH(Premissas!$B$8,Precos!$B$3:$I$3,0))</f>
        <v/>
      </c>
      <c r="C63" s="10">
        <f>IF(AND(Premissas!$B$10&gt;1,A63&lt;Premissas!$B$9),B63*Premissas!$B$10,B63)</f>
        <v/>
      </c>
      <c r="D63" s="12" t="n"/>
      <c r="E63" s="10">
        <f>Precos!J63</f>
        <v/>
      </c>
      <c r="F63" s="12" t="n"/>
    </row>
    <row r="64">
      <c r="A64" s="9">
        <f>Precos!A64</f>
        <v/>
      </c>
      <c r="B64" s="10">
        <f>INDEX(Precos!$B64:$I64,MATCH(Premissas!$B$8,Precos!$B$3:$I$3,0))</f>
        <v/>
      </c>
      <c r="C64" s="10">
        <f>IF(AND(Premissas!$B$10&gt;1,A64&lt;Premissas!$B$9),B64*Premissas!$B$10,B64)</f>
        <v/>
      </c>
      <c r="D64" s="12" t="n"/>
      <c r="E64" s="10">
        <f>Precos!J64</f>
        <v/>
      </c>
      <c r="F64" s="12" t="n"/>
    </row>
    <row r="65">
      <c r="A65" s="9">
        <f>Precos!A65</f>
        <v/>
      </c>
      <c r="B65" s="10">
        <f>INDEX(Precos!$B65:$I65,MATCH(Premissas!$B$8,Precos!$B$3:$I$3,0))</f>
        <v/>
      </c>
      <c r="C65" s="10">
        <f>IF(AND(Premissas!$B$10&gt;1,A65&lt;Premissas!$B$9),B65*Premissas!$B$10,B65)</f>
        <v/>
      </c>
      <c r="D65" s="12" t="n"/>
      <c r="E65" s="10">
        <f>Precos!J65</f>
        <v/>
      </c>
      <c r="F65" s="12" t="n"/>
    </row>
    <row r="66">
      <c r="A66" s="9">
        <f>Precos!A66</f>
        <v/>
      </c>
      <c r="B66" s="10">
        <f>INDEX(Precos!$B66:$I66,MATCH(Premissas!$B$8,Precos!$B$3:$I$3,0))</f>
        <v/>
      </c>
      <c r="C66" s="10">
        <f>IF(AND(Premissas!$B$10&gt;1,A66&lt;Premissas!$B$9),B66*Premissas!$B$10,B66)</f>
        <v/>
      </c>
      <c r="D66" s="12" t="n"/>
      <c r="E66" s="10">
        <f>Precos!J66</f>
        <v/>
      </c>
      <c r="F66" s="12" t="n"/>
    </row>
    <row r="67">
      <c r="A67" s="9">
        <f>Precos!A67</f>
        <v/>
      </c>
      <c r="B67" s="10">
        <f>INDEX(Precos!$B67:$I67,MATCH(Premissas!$B$8,Precos!$B$3:$I$3,0))</f>
        <v/>
      </c>
      <c r="C67" s="10">
        <f>IF(AND(Premissas!$B$10&gt;1,A67&lt;Premissas!$B$9),B67*Premissas!$B$10,B67)</f>
        <v/>
      </c>
      <c r="D67" s="12" t="n"/>
      <c r="E67" s="10">
        <f>Precos!J67</f>
        <v/>
      </c>
      <c r="F67" s="12" t="n"/>
    </row>
    <row r="68">
      <c r="A68" s="9">
        <f>Precos!A68</f>
        <v/>
      </c>
      <c r="B68" s="10">
        <f>INDEX(Precos!$B68:$I68,MATCH(Premissas!$B$8,Precos!$B$3:$I$3,0))</f>
        <v/>
      </c>
      <c r="C68" s="10">
        <f>IF(AND(Premissas!$B$10&gt;1,A68&lt;Premissas!$B$9),B68*Premissas!$B$10,B68)</f>
        <v/>
      </c>
      <c r="D68" s="12" t="n"/>
      <c r="E68" s="10">
        <f>Precos!J68</f>
        <v/>
      </c>
      <c r="F68" s="12" t="n"/>
    </row>
    <row r="69">
      <c r="A69" s="9">
        <f>Precos!A69</f>
        <v/>
      </c>
      <c r="B69" s="10">
        <f>INDEX(Precos!$B69:$I69,MATCH(Premissas!$B$8,Precos!$B$3:$I$3,0))</f>
        <v/>
      </c>
      <c r="C69" s="10">
        <f>IF(AND(Premissas!$B$10&gt;1,A69&lt;Premissas!$B$9),B69*Premissas!$B$10,B69)</f>
        <v/>
      </c>
      <c r="D69" s="12" t="n"/>
      <c r="E69" s="10">
        <f>Precos!J69</f>
        <v/>
      </c>
      <c r="F69" s="12" t="n"/>
    </row>
    <row r="70">
      <c r="A70" s="9">
        <f>Precos!A70</f>
        <v/>
      </c>
      <c r="B70" s="10">
        <f>INDEX(Precos!$B70:$I70,MATCH(Premissas!$B$8,Precos!$B$3:$I$3,0))</f>
        <v/>
      </c>
      <c r="C70" s="10">
        <f>IF(AND(Premissas!$B$10&gt;1,A70&lt;Premissas!$B$9),B70*Premissas!$B$10,B70)</f>
        <v/>
      </c>
      <c r="D70" s="12" t="n"/>
      <c r="E70" s="10">
        <f>Precos!J70</f>
        <v/>
      </c>
      <c r="F70" s="12" t="n"/>
    </row>
    <row r="71">
      <c r="A71" s="9">
        <f>Precos!A71</f>
        <v/>
      </c>
      <c r="B71" s="10">
        <f>INDEX(Precos!$B71:$I71,MATCH(Premissas!$B$8,Precos!$B$3:$I$3,0))</f>
        <v/>
      </c>
      <c r="C71" s="10">
        <f>IF(AND(Premissas!$B$10&gt;1,A71&lt;Premissas!$B$9),B71*Premissas!$B$10,B71)</f>
        <v/>
      </c>
      <c r="D71" s="12" t="n"/>
      <c r="E71" s="10">
        <f>Precos!J71</f>
        <v/>
      </c>
      <c r="F71" s="12" t="n"/>
    </row>
    <row r="72">
      <c r="A72" s="9">
        <f>Precos!A72</f>
        <v/>
      </c>
      <c r="B72" s="10">
        <f>INDEX(Precos!$B72:$I72,MATCH(Premissas!$B$8,Precos!$B$3:$I$3,0))</f>
        <v/>
      </c>
      <c r="C72" s="10">
        <f>IF(AND(Premissas!$B$10&gt;1,A72&lt;Premissas!$B$9),B72*Premissas!$B$10,B72)</f>
        <v/>
      </c>
      <c r="D72" s="12" t="n"/>
      <c r="E72" s="10">
        <f>Precos!J72</f>
        <v/>
      </c>
      <c r="F72" s="12" t="n"/>
    </row>
    <row r="73">
      <c r="A73" s="9">
        <f>Precos!A73</f>
        <v/>
      </c>
      <c r="B73" s="10">
        <f>INDEX(Precos!$B73:$I73,MATCH(Premissas!$B$8,Precos!$B$3:$I$3,0))</f>
        <v/>
      </c>
      <c r="C73" s="10">
        <f>IF(AND(Premissas!$B$10&gt;1,A73&lt;Premissas!$B$9),B73*Premissas!$B$10,B73)</f>
        <v/>
      </c>
      <c r="D73" s="12" t="n"/>
      <c r="E73" s="10">
        <f>Precos!J73</f>
        <v/>
      </c>
      <c r="F73" s="12" t="n"/>
    </row>
    <row r="74">
      <c r="A74" s="9">
        <f>Precos!A74</f>
        <v/>
      </c>
      <c r="B74" s="10">
        <f>INDEX(Precos!$B74:$I74,MATCH(Premissas!$B$8,Precos!$B$3:$I$3,0))</f>
        <v/>
      </c>
      <c r="C74" s="10">
        <f>IF(AND(Premissas!$B$10&gt;1,A74&lt;Premissas!$B$9),B74*Premissas!$B$10,B74)</f>
        <v/>
      </c>
      <c r="D74" s="12" t="n"/>
      <c r="E74" s="10">
        <f>Precos!J74</f>
        <v/>
      </c>
      <c r="F74" s="12" t="n"/>
    </row>
    <row r="75">
      <c r="A75" s="9">
        <f>Precos!A75</f>
        <v/>
      </c>
      <c r="B75" s="10">
        <f>INDEX(Precos!$B75:$I75,MATCH(Premissas!$B$8,Precos!$B$3:$I$3,0))</f>
        <v/>
      </c>
      <c r="C75" s="10">
        <f>IF(AND(Premissas!$B$10&gt;1,A75&lt;Premissas!$B$9),B75*Premissas!$B$10,B75)</f>
        <v/>
      </c>
      <c r="D75" s="12" t="n"/>
      <c r="E75" s="10">
        <f>Precos!J75</f>
        <v/>
      </c>
      <c r="F75" s="12" t="n"/>
    </row>
    <row r="76">
      <c r="A76" s="9">
        <f>Precos!A76</f>
        <v/>
      </c>
      <c r="B76" s="10">
        <f>INDEX(Precos!$B76:$I76,MATCH(Premissas!$B$8,Precos!$B$3:$I$3,0))</f>
        <v/>
      </c>
      <c r="C76" s="10">
        <f>IF(AND(Premissas!$B$10&gt;1,A76&lt;Premissas!$B$9),B76*Premissas!$B$10,B76)</f>
        <v/>
      </c>
      <c r="D76" s="12" t="n"/>
      <c r="E76" s="10">
        <f>Precos!J76</f>
        <v/>
      </c>
      <c r="F76" s="12" t="n"/>
    </row>
    <row r="77">
      <c r="A77" s="9">
        <f>Precos!A77</f>
        <v/>
      </c>
      <c r="B77" s="10">
        <f>INDEX(Precos!$B77:$I77,MATCH(Premissas!$B$8,Precos!$B$3:$I$3,0))</f>
        <v/>
      </c>
      <c r="C77" s="10">
        <f>IF(AND(Premissas!$B$10&gt;1,A77&lt;Premissas!$B$9),B77*Premissas!$B$10,B77)</f>
        <v/>
      </c>
      <c r="D77" s="12" t="n"/>
      <c r="E77" s="10">
        <f>Precos!J77</f>
        <v/>
      </c>
      <c r="F77" s="12" t="n"/>
    </row>
    <row r="78">
      <c r="A78" s="9">
        <f>Precos!A78</f>
        <v/>
      </c>
      <c r="B78" s="10">
        <f>INDEX(Precos!$B78:$I78,MATCH(Premissas!$B$8,Precos!$B$3:$I$3,0))</f>
        <v/>
      </c>
      <c r="C78" s="10">
        <f>IF(AND(Premissas!$B$10&gt;1,A78&lt;Premissas!$B$9),B78*Premissas!$B$10,B78)</f>
        <v/>
      </c>
      <c r="D78" s="12" t="n"/>
      <c r="E78" s="10">
        <f>Precos!J78</f>
        <v/>
      </c>
      <c r="F78" s="12" t="n"/>
    </row>
    <row r="79">
      <c r="A79" s="9">
        <f>Precos!A79</f>
        <v/>
      </c>
      <c r="B79" s="10">
        <f>INDEX(Precos!$B79:$I79,MATCH(Premissas!$B$8,Precos!$B$3:$I$3,0))</f>
        <v/>
      </c>
      <c r="C79" s="10">
        <f>IF(AND(Premissas!$B$10&gt;1,A79&lt;Premissas!$B$9),B79*Premissas!$B$10,B79)</f>
        <v/>
      </c>
      <c r="D79" s="12" t="n"/>
      <c r="E79" s="10">
        <f>Precos!J79</f>
        <v/>
      </c>
      <c r="F79" s="12" t="n"/>
    </row>
    <row r="80">
      <c r="A80" s="9">
        <f>Precos!A80</f>
        <v/>
      </c>
      <c r="B80" s="10">
        <f>INDEX(Precos!$B80:$I80,MATCH(Premissas!$B$8,Precos!$B$3:$I$3,0))</f>
        <v/>
      </c>
      <c r="C80" s="10">
        <f>IF(AND(Premissas!$B$10&gt;1,A80&lt;Premissas!$B$9),B80*Premissas!$B$10,B80)</f>
        <v/>
      </c>
      <c r="D80" s="12" t="n"/>
      <c r="E80" s="10">
        <f>Precos!J80</f>
        <v/>
      </c>
      <c r="F80" s="12" t="n"/>
    </row>
    <row r="81">
      <c r="A81" s="9">
        <f>Precos!A81</f>
        <v/>
      </c>
      <c r="B81" s="10">
        <f>INDEX(Precos!$B81:$I81,MATCH(Premissas!$B$8,Precos!$B$3:$I$3,0))</f>
        <v/>
      </c>
      <c r="C81" s="10">
        <f>IF(AND(Premissas!$B$10&gt;1,A81&lt;Premissas!$B$9),B81*Premissas!$B$10,B81)</f>
        <v/>
      </c>
      <c r="D81" s="12" t="n"/>
      <c r="E81" s="10">
        <f>Precos!J81</f>
        <v/>
      </c>
      <c r="F81" s="12" t="n"/>
    </row>
    <row r="82">
      <c r="A82" s="9">
        <f>Precos!A82</f>
        <v/>
      </c>
      <c r="B82" s="10">
        <f>INDEX(Precos!$B82:$I82,MATCH(Premissas!$B$8,Precos!$B$3:$I$3,0))</f>
        <v/>
      </c>
      <c r="C82" s="10">
        <f>IF(AND(Premissas!$B$10&gt;1,A82&lt;Premissas!$B$9),B82*Premissas!$B$10,B82)</f>
        <v/>
      </c>
      <c r="D82" s="12" t="n"/>
      <c r="E82" s="10">
        <f>Precos!J82</f>
        <v/>
      </c>
      <c r="F82" s="12" t="n"/>
    </row>
    <row r="83">
      <c r="A83" s="9">
        <f>Precos!A83</f>
        <v/>
      </c>
      <c r="B83" s="10">
        <f>INDEX(Precos!$B83:$I83,MATCH(Premissas!$B$8,Precos!$B$3:$I$3,0))</f>
        <v/>
      </c>
      <c r="C83" s="10">
        <f>IF(AND(Premissas!$B$10&gt;1,A83&lt;Premissas!$B$9),B83*Premissas!$B$10,B83)</f>
        <v/>
      </c>
      <c r="D83" s="12" t="n"/>
      <c r="E83" s="10">
        <f>Precos!J83</f>
        <v/>
      </c>
      <c r="F83" s="12" t="n"/>
    </row>
    <row r="84">
      <c r="A84" s="9">
        <f>Precos!A84</f>
        <v/>
      </c>
      <c r="B84" s="10">
        <f>INDEX(Precos!$B84:$I84,MATCH(Premissas!$B$8,Precos!$B$3:$I$3,0))</f>
        <v/>
      </c>
      <c r="C84" s="10">
        <f>IF(AND(Premissas!$B$10&gt;1,A84&lt;Premissas!$B$9),B84*Premissas!$B$10,B84)</f>
        <v/>
      </c>
      <c r="D84" s="12" t="n"/>
      <c r="E84" s="10">
        <f>Precos!J84</f>
        <v/>
      </c>
      <c r="F84" s="12" t="n"/>
    </row>
    <row r="85">
      <c r="A85" s="9">
        <f>Precos!A85</f>
        <v/>
      </c>
      <c r="B85" s="10">
        <f>INDEX(Precos!$B85:$I85,MATCH(Premissas!$B$8,Precos!$B$3:$I$3,0))</f>
        <v/>
      </c>
      <c r="C85" s="10">
        <f>IF(AND(Premissas!$B$10&gt;1,A85&lt;Premissas!$B$9),B85*Premissas!$B$10,B85)</f>
        <v/>
      </c>
      <c r="D85" s="12" t="n"/>
      <c r="E85" s="10">
        <f>Precos!J85</f>
        <v/>
      </c>
      <c r="F85" s="12" t="n"/>
    </row>
    <row r="86">
      <c r="A86" s="9">
        <f>Precos!A86</f>
        <v/>
      </c>
      <c r="B86" s="10">
        <f>INDEX(Precos!$B86:$I86,MATCH(Premissas!$B$8,Precos!$B$3:$I$3,0))</f>
        <v/>
      </c>
      <c r="C86" s="10">
        <f>IF(AND(Premissas!$B$10&gt;1,A86&lt;Premissas!$B$9),B86*Premissas!$B$10,B86)</f>
        <v/>
      </c>
      <c r="D86" s="12" t="n"/>
      <c r="E86" s="10">
        <f>Precos!J86</f>
        <v/>
      </c>
      <c r="F86" s="12" t="n"/>
    </row>
    <row r="87">
      <c r="A87" s="9">
        <f>Precos!A87</f>
        <v/>
      </c>
      <c r="B87" s="10">
        <f>INDEX(Precos!$B87:$I87,MATCH(Premissas!$B$8,Precos!$B$3:$I$3,0))</f>
        <v/>
      </c>
      <c r="C87" s="10">
        <f>IF(AND(Premissas!$B$10&gt;1,A87&lt;Premissas!$B$9),B87*Premissas!$B$10,B87)</f>
        <v/>
      </c>
      <c r="D87" s="12" t="n"/>
      <c r="E87" s="10">
        <f>Precos!J87</f>
        <v/>
      </c>
      <c r="F87" s="12" t="n"/>
    </row>
    <row r="88">
      <c r="A88" s="9">
        <f>Precos!A88</f>
        <v/>
      </c>
      <c r="B88" s="10">
        <f>INDEX(Precos!$B88:$I88,MATCH(Premissas!$B$8,Precos!$B$3:$I$3,0))</f>
        <v/>
      </c>
      <c r="C88" s="10">
        <f>IF(AND(Premissas!$B$10&gt;1,A88&lt;Premissas!$B$9),B88*Premissas!$B$10,B88)</f>
        <v/>
      </c>
      <c r="D88" s="12" t="n"/>
      <c r="E88" s="10">
        <f>Precos!J88</f>
        <v/>
      </c>
      <c r="F88" s="12" t="n"/>
    </row>
    <row r="89">
      <c r="A89" s="9">
        <f>Precos!A89</f>
        <v/>
      </c>
      <c r="B89" s="10">
        <f>INDEX(Precos!$B89:$I89,MATCH(Premissas!$B$8,Precos!$B$3:$I$3,0))</f>
        <v/>
      </c>
      <c r="C89" s="10">
        <f>IF(AND(Premissas!$B$10&gt;1,A89&lt;Premissas!$B$9),B89*Premissas!$B$10,B89)</f>
        <v/>
      </c>
      <c r="D89" s="12" t="n"/>
      <c r="E89" s="10">
        <f>Precos!J89</f>
        <v/>
      </c>
      <c r="F89" s="12" t="n"/>
    </row>
    <row r="90">
      <c r="A90" s="9">
        <f>Precos!A90</f>
        <v/>
      </c>
      <c r="B90" s="10">
        <f>INDEX(Precos!$B90:$I90,MATCH(Premissas!$B$8,Precos!$B$3:$I$3,0))</f>
        <v/>
      </c>
      <c r="C90" s="10">
        <f>IF(AND(Premissas!$B$10&gt;1,A90&lt;Premissas!$B$9),B90*Premissas!$B$10,B90)</f>
        <v/>
      </c>
      <c r="D90" s="12" t="n"/>
      <c r="E90" s="10">
        <f>Precos!J90</f>
        <v/>
      </c>
      <c r="F90" s="12" t="n"/>
    </row>
    <row r="91">
      <c r="A91" s="9">
        <f>Precos!A91</f>
        <v/>
      </c>
      <c r="B91" s="10">
        <f>INDEX(Precos!$B91:$I91,MATCH(Premissas!$B$8,Precos!$B$3:$I$3,0))</f>
        <v/>
      </c>
      <c r="C91" s="10">
        <f>IF(AND(Premissas!$B$10&gt;1,A91&lt;Premissas!$B$9),B91*Premissas!$B$10,B91)</f>
        <v/>
      </c>
      <c r="D91" s="12" t="n"/>
      <c r="E91" s="10">
        <f>Precos!J91</f>
        <v/>
      </c>
      <c r="F91" s="12" t="n"/>
    </row>
    <row r="92">
      <c r="A92" s="9">
        <f>Precos!A92</f>
        <v/>
      </c>
      <c r="B92" s="10">
        <f>INDEX(Precos!$B92:$I92,MATCH(Premissas!$B$8,Precos!$B$3:$I$3,0))</f>
        <v/>
      </c>
      <c r="C92" s="10">
        <f>IF(AND(Premissas!$B$10&gt;1,A92&lt;Premissas!$B$9),B92*Premissas!$B$10,B92)</f>
        <v/>
      </c>
      <c r="D92" s="12" t="n"/>
      <c r="E92" s="10">
        <f>Precos!J92</f>
        <v/>
      </c>
      <c r="F92" s="12" t="n"/>
    </row>
    <row r="93">
      <c r="A93" s="9">
        <f>Precos!A93</f>
        <v/>
      </c>
      <c r="B93" s="10">
        <f>INDEX(Precos!$B93:$I93,MATCH(Premissas!$B$8,Precos!$B$3:$I$3,0))</f>
        <v/>
      </c>
      <c r="C93" s="10">
        <f>IF(AND(Premissas!$B$10&gt;1,A93&lt;Premissas!$B$9),B93*Premissas!$B$10,B93)</f>
        <v/>
      </c>
      <c r="D93" s="12" t="n"/>
      <c r="E93" s="10">
        <f>Precos!J93</f>
        <v/>
      </c>
      <c r="F93" s="12" t="n"/>
    </row>
    <row r="94">
      <c r="A94" s="9">
        <f>Precos!A94</f>
        <v/>
      </c>
      <c r="B94" s="10">
        <f>INDEX(Precos!$B94:$I94,MATCH(Premissas!$B$8,Precos!$B$3:$I$3,0))</f>
        <v/>
      </c>
      <c r="C94" s="10">
        <f>IF(AND(Premissas!$B$10&gt;1,A94&lt;Premissas!$B$9),B94*Premissas!$B$10,B94)</f>
        <v/>
      </c>
      <c r="D94" s="12" t="n"/>
      <c r="E94" s="10">
        <f>Precos!J94</f>
        <v/>
      </c>
      <c r="F94" s="12" t="n"/>
    </row>
    <row r="95">
      <c r="A95" s="9">
        <f>Precos!A95</f>
        <v/>
      </c>
      <c r="B95" s="10">
        <f>INDEX(Precos!$B95:$I95,MATCH(Premissas!$B$8,Precos!$B$3:$I$3,0))</f>
        <v/>
      </c>
      <c r="C95" s="10">
        <f>IF(AND(Premissas!$B$10&gt;1,A95&lt;Premissas!$B$9),B95*Premissas!$B$10,B95)</f>
        <v/>
      </c>
      <c r="D95" s="12" t="n"/>
      <c r="E95" s="10">
        <f>Precos!J95</f>
        <v/>
      </c>
      <c r="F95" s="12" t="n"/>
    </row>
    <row r="96">
      <c r="A96" s="9">
        <f>Precos!A96</f>
        <v/>
      </c>
      <c r="B96" s="10">
        <f>INDEX(Precos!$B96:$I96,MATCH(Premissas!$B$8,Precos!$B$3:$I$3,0))</f>
        <v/>
      </c>
      <c r="C96" s="10">
        <f>IF(AND(Premissas!$B$10&gt;1,A96&lt;Premissas!$B$9),B96*Premissas!$B$10,B96)</f>
        <v/>
      </c>
      <c r="D96" s="12" t="n"/>
      <c r="E96" s="10">
        <f>Precos!J96</f>
        <v/>
      </c>
      <c r="F96" s="12" t="n"/>
    </row>
    <row r="97">
      <c r="A97" s="9">
        <f>Precos!A97</f>
        <v/>
      </c>
      <c r="B97" s="10">
        <f>INDEX(Precos!$B97:$I97,MATCH(Premissas!$B$8,Precos!$B$3:$I$3,0))</f>
        <v/>
      </c>
      <c r="C97" s="10">
        <f>IF(AND(Premissas!$B$10&gt;1,A97&lt;Premissas!$B$9),B97*Premissas!$B$10,B97)</f>
        <v/>
      </c>
      <c r="D97" s="12" t="n"/>
      <c r="E97" s="10">
        <f>Precos!J97</f>
        <v/>
      </c>
      <c r="F97" s="12" t="n"/>
    </row>
    <row r="98">
      <c r="A98" s="9">
        <f>Precos!A98</f>
        <v/>
      </c>
      <c r="B98" s="10">
        <f>INDEX(Precos!$B98:$I98,MATCH(Premissas!$B$8,Precos!$B$3:$I$3,0))</f>
        <v/>
      </c>
      <c r="C98" s="10">
        <f>IF(AND(Premissas!$B$10&gt;1,A98&lt;Premissas!$B$9),B98*Premissas!$B$10,B98)</f>
        <v/>
      </c>
      <c r="D98" s="12" t="n"/>
      <c r="E98" s="10">
        <f>Precos!J98</f>
        <v/>
      </c>
      <c r="F98" s="12" t="n"/>
    </row>
    <row r="99">
      <c r="A99" s="9">
        <f>Precos!A99</f>
        <v/>
      </c>
      <c r="B99" s="10">
        <f>INDEX(Precos!$B99:$I99,MATCH(Premissas!$B$8,Precos!$B$3:$I$3,0))</f>
        <v/>
      </c>
      <c r="C99" s="10">
        <f>IF(AND(Premissas!$B$10&gt;1,A99&lt;Premissas!$B$9),B99*Premissas!$B$10,B99)</f>
        <v/>
      </c>
      <c r="D99" s="12" t="n"/>
      <c r="E99" s="10">
        <f>Precos!J99</f>
        <v/>
      </c>
      <c r="F99" s="12" t="n"/>
    </row>
    <row r="100">
      <c r="A100" s="9">
        <f>Precos!A100</f>
        <v/>
      </c>
      <c r="B100" s="10">
        <f>INDEX(Precos!$B100:$I100,MATCH(Premissas!$B$8,Precos!$B$3:$I$3,0))</f>
        <v/>
      </c>
      <c r="C100" s="10">
        <f>IF(AND(Premissas!$B$10&gt;1,A100&lt;Premissas!$B$9),B100*Premissas!$B$10,B100)</f>
        <v/>
      </c>
      <c r="D100" s="12" t="n"/>
      <c r="E100" s="10">
        <f>Precos!J100</f>
        <v/>
      </c>
      <c r="F100" s="12" t="n"/>
    </row>
    <row r="101">
      <c r="A101" s="9">
        <f>Precos!A101</f>
        <v/>
      </c>
      <c r="B101" s="10">
        <f>INDEX(Precos!$B101:$I101,MATCH(Premissas!$B$8,Precos!$B$3:$I$3,0))</f>
        <v/>
      </c>
      <c r="C101" s="10">
        <f>IF(AND(Premissas!$B$10&gt;1,A101&lt;Premissas!$B$9),B101*Premissas!$B$10,B101)</f>
        <v/>
      </c>
      <c r="D101" s="12" t="n"/>
      <c r="E101" s="10">
        <f>Precos!J101</f>
        <v/>
      </c>
      <c r="F101" s="12" t="n"/>
    </row>
    <row r="102">
      <c r="A102" s="9">
        <f>Precos!A102</f>
        <v/>
      </c>
      <c r="B102" s="10">
        <f>INDEX(Precos!$B102:$I102,MATCH(Premissas!$B$8,Precos!$B$3:$I$3,0))</f>
        <v/>
      </c>
      <c r="C102" s="10">
        <f>IF(AND(Premissas!$B$10&gt;1,A102&lt;Premissas!$B$9),B102*Premissas!$B$10,B102)</f>
        <v/>
      </c>
      <c r="D102" s="12" t="n"/>
      <c r="E102" s="10">
        <f>Precos!J102</f>
        <v/>
      </c>
      <c r="F102" s="12" t="n"/>
    </row>
    <row r="103">
      <c r="A103" s="9">
        <f>Precos!A103</f>
        <v/>
      </c>
      <c r="B103" s="10">
        <f>INDEX(Precos!$B103:$I103,MATCH(Premissas!$B$8,Precos!$B$3:$I$3,0))</f>
        <v/>
      </c>
      <c r="C103" s="10">
        <f>IF(AND(Premissas!$B$10&gt;1,A103&lt;Premissas!$B$9),B103*Premissas!$B$10,B103)</f>
        <v/>
      </c>
      <c r="D103" s="12" t="n"/>
      <c r="E103" s="10">
        <f>Precos!J103</f>
        <v/>
      </c>
      <c r="F103" s="12" t="n"/>
    </row>
    <row r="104">
      <c r="A104" s="9">
        <f>Precos!A104</f>
        <v/>
      </c>
      <c r="B104" s="10">
        <f>INDEX(Precos!$B104:$I104,MATCH(Premissas!$B$8,Precos!$B$3:$I$3,0))</f>
        <v/>
      </c>
      <c r="C104" s="10">
        <f>IF(AND(Premissas!$B$10&gt;1,A104&lt;Premissas!$B$9),B104*Premissas!$B$10,B104)</f>
        <v/>
      </c>
      <c r="D104" s="12" t="n"/>
      <c r="E104" s="10">
        <f>Precos!J104</f>
        <v/>
      </c>
      <c r="F104" s="12" t="n"/>
    </row>
    <row r="105">
      <c r="A105" s="9">
        <f>Precos!A105</f>
        <v/>
      </c>
      <c r="B105" s="10">
        <f>INDEX(Precos!$B105:$I105,MATCH(Premissas!$B$8,Precos!$B$3:$I$3,0))</f>
        <v/>
      </c>
      <c r="C105" s="10">
        <f>IF(AND(Premissas!$B$10&gt;1,A105&lt;Premissas!$B$9),B105*Premissas!$B$10,B105)</f>
        <v/>
      </c>
      <c r="D105" s="12" t="n"/>
      <c r="E105" s="10">
        <f>Precos!J105</f>
        <v/>
      </c>
      <c r="F105" s="12" t="n"/>
    </row>
    <row r="106">
      <c r="A106" s="9">
        <f>Precos!A106</f>
        <v/>
      </c>
      <c r="B106" s="10">
        <f>INDEX(Precos!$B106:$I106,MATCH(Premissas!$B$8,Precos!$B$3:$I$3,0))</f>
        <v/>
      </c>
      <c r="C106" s="10">
        <f>IF(AND(Premissas!$B$10&gt;1,A106&lt;Premissas!$B$9),B106*Premissas!$B$10,B106)</f>
        <v/>
      </c>
      <c r="D106" s="12" t="n"/>
      <c r="E106" s="10">
        <f>Precos!J106</f>
        <v/>
      </c>
      <c r="F106" s="12" t="n"/>
    </row>
    <row r="107">
      <c r="A107" s="9">
        <f>Precos!A107</f>
        <v/>
      </c>
      <c r="B107" s="10">
        <f>INDEX(Precos!$B107:$I107,MATCH(Premissas!$B$8,Precos!$B$3:$I$3,0))</f>
        <v/>
      </c>
      <c r="C107" s="10">
        <f>IF(AND(Premissas!$B$10&gt;1,A107&lt;Premissas!$B$9),B107*Premissas!$B$10,B107)</f>
        <v/>
      </c>
      <c r="D107" s="12" t="n"/>
      <c r="E107" s="10">
        <f>Precos!J107</f>
        <v/>
      </c>
      <c r="F107" s="12" t="n"/>
    </row>
    <row r="108">
      <c r="A108" s="9">
        <f>Precos!A108</f>
        <v/>
      </c>
      <c r="B108" s="10">
        <f>INDEX(Precos!$B108:$I108,MATCH(Premissas!$B$8,Precos!$B$3:$I$3,0))</f>
        <v/>
      </c>
      <c r="C108" s="10">
        <f>IF(AND(Premissas!$B$10&gt;1,A108&lt;Premissas!$B$9),B108*Premissas!$B$10,B108)</f>
        <v/>
      </c>
      <c r="D108" s="12" t="n"/>
      <c r="E108" s="10">
        <f>Precos!J108</f>
        <v/>
      </c>
      <c r="F108" s="12" t="n"/>
    </row>
    <row r="109">
      <c r="A109" s="9">
        <f>Precos!A109</f>
        <v/>
      </c>
      <c r="B109" s="10">
        <f>INDEX(Precos!$B109:$I109,MATCH(Premissas!$B$8,Precos!$B$3:$I$3,0))</f>
        <v/>
      </c>
      <c r="C109" s="10">
        <f>IF(AND(Premissas!$B$10&gt;1,A109&lt;Premissas!$B$9),B109*Premissas!$B$10,B109)</f>
        <v/>
      </c>
      <c r="D109" s="12" t="n"/>
      <c r="E109" s="10">
        <f>Precos!J109</f>
        <v/>
      </c>
      <c r="F109" s="12" t="n"/>
    </row>
    <row r="110">
      <c r="A110" s="9">
        <f>Precos!A110</f>
        <v/>
      </c>
      <c r="B110" s="10">
        <f>INDEX(Precos!$B110:$I110,MATCH(Premissas!$B$8,Precos!$B$3:$I$3,0))</f>
        <v/>
      </c>
      <c r="C110" s="10">
        <f>IF(AND(Premissas!$B$10&gt;1,A110&lt;Premissas!$B$9),B110*Premissas!$B$10,B110)</f>
        <v/>
      </c>
      <c r="D110" s="12" t="n"/>
      <c r="E110" s="10">
        <f>Precos!J110</f>
        <v/>
      </c>
      <c r="F110" s="12" t="n"/>
    </row>
    <row r="111">
      <c r="A111" s="9">
        <f>Precos!A111</f>
        <v/>
      </c>
      <c r="B111" s="10">
        <f>INDEX(Precos!$B111:$I111,MATCH(Premissas!$B$8,Precos!$B$3:$I$3,0))</f>
        <v/>
      </c>
      <c r="C111" s="10">
        <f>IF(AND(Premissas!$B$10&gt;1,A111&lt;Premissas!$B$9),B111*Premissas!$B$10,B111)</f>
        <v/>
      </c>
      <c r="D111" s="12" t="n"/>
      <c r="E111" s="10">
        <f>Precos!J111</f>
        <v/>
      </c>
      <c r="F111" s="12" t="n"/>
    </row>
    <row r="112">
      <c r="A112" s="9">
        <f>Precos!A112</f>
        <v/>
      </c>
      <c r="B112" s="10">
        <f>INDEX(Precos!$B112:$I112,MATCH(Premissas!$B$8,Precos!$B$3:$I$3,0))</f>
        <v/>
      </c>
      <c r="C112" s="10">
        <f>IF(AND(Premissas!$B$10&gt;1,A112&lt;Premissas!$B$9),B112*Premissas!$B$10,B112)</f>
        <v/>
      </c>
      <c r="D112" s="12" t="n"/>
      <c r="E112" s="10">
        <f>Precos!J112</f>
        <v/>
      </c>
      <c r="F112" s="12" t="n"/>
    </row>
    <row r="113">
      <c r="A113" s="9">
        <f>Precos!A113</f>
        <v/>
      </c>
      <c r="B113" s="10">
        <f>INDEX(Precos!$B113:$I113,MATCH(Premissas!$B$8,Precos!$B$3:$I$3,0))</f>
        <v/>
      </c>
      <c r="C113" s="10">
        <f>IF(AND(Premissas!$B$10&gt;1,A113&lt;Premissas!$B$9),B113*Premissas!$B$10,B113)</f>
        <v/>
      </c>
      <c r="D113" s="12" t="n"/>
      <c r="E113" s="10">
        <f>Precos!J113</f>
        <v/>
      </c>
      <c r="F113" s="12" t="n"/>
    </row>
    <row r="114">
      <c r="A114" s="9">
        <f>Precos!A114</f>
        <v/>
      </c>
      <c r="B114" s="10">
        <f>INDEX(Precos!$B114:$I114,MATCH(Premissas!$B$8,Precos!$B$3:$I$3,0))</f>
        <v/>
      </c>
      <c r="C114" s="10">
        <f>IF(AND(Premissas!$B$10&gt;1,A114&lt;Premissas!$B$9),B114*Premissas!$B$10,B114)</f>
        <v/>
      </c>
      <c r="D114" s="12" t="n"/>
      <c r="E114" s="10">
        <f>Precos!J114</f>
        <v/>
      </c>
      <c r="F114" s="12" t="n"/>
    </row>
    <row r="115">
      <c r="A115" s="9">
        <f>Precos!A115</f>
        <v/>
      </c>
      <c r="B115" s="10">
        <f>INDEX(Precos!$B115:$I115,MATCH(Premissas!$B$8,Precos!$B$3:$I$3,0))</f>
        <v/>
      </c>
      <c r="C115" s="10">
        <f>IF(AND(Premissas!$B$10&gt;1,A115&lt;Premissas!$B$9),B115*Premissas!$B$10,B115)</f>
        <v/>
      </c>
      <c r="D115" s="12" t="n"/>
      <c r="E115" s="10">
        <f>Precos!J115</f>
        <v/>
      </c>
      <c r="F115" s="12" t="n"/>
    </row>
    <row r="116">
      <c r="A116" s="9">
        <f>Precos!A116</f>
        <v/>
      </c>
      <c r="B116" s="10">
        <f>INDEX(Precos!$B116:$I116,MATCH(Premissas!$B$8,Precos!$B$3:$I$3,0))</f>
        <v/>
      </c>
      <c r="C116" s="10">
        <f>IF(AND(Premissas!$B$10&gt;1,A116&lt;Premissas!$B$9),B116*Premissas!$B$10,B116)</f>
        <v/>
      </c>
      <c r="D116" s="12" t="n"/>
      <c r="E116" s="10">
        <f>Precos!J116</f>
        <v/>
      </c>
      <c r="F116" s="12" t="n"/>
    </row>
    <row r="117">
      <c r="A117" s="9">
        <f>Precos!A117</f>
        <v/>
      </c>
      <c r="B117" s="10">
        <f>INDEX(Precos!$B117:$I117,MATCH(Premissas!$B$8,Precos!$B$3:$I$3,0))</f>
        <v/>
      </c>
      <c r="C117" s="10">
        <f>IF(AND(Premissas!$B$10&gt;1,A117&lt;Premissas!$B$9),B117*Premissas!$B$10,B117)</f>
        <v/>
      </c>
      <c r="D117" s="12" t="n"/>
      <c r="E117" s="10">
        <f>Precos!J117</f>
        <v/>
      </c>
      <c r="F117" s="12" t="n"/>
    </row>
    <row r="118">
      <c r="A118" s="9">
        <f>Precos!A118</f>
        <v/>
      </c>
      <c r="B118" s="10">
        <f>INDEX(Precos!$B118:$I118,MATCH(Premissas!$B$8,Precos!$B$3:$I$3,0))</f>
        <v/>
      </c>
      <c r="C118" s="10">
        <f>IF(AND(Premissas!$B$10&gt;1,A118&lt;Premissas!$B$9),B118*Premissas!$B$10,B118)</f>
        <v/>
      </c>
      <c r="D118" s="12" t="n"/>
      <c r="E118" s="10">
        <f>Precos!J118</f>
        <v/>
      </c>
      <c r="F118" s="12" t="n"/>
    </row>
    <row r="119">
      <c r="A119" s="9">
        <f>Precos!A119</f>
        <v/>
      </c>
      <c r="B119" s="10">
        <f>INDEX(Precos!$B119:$I119,MATCH(Premissas!$B$8,Precos!$B$3:$I$3,0))</f>
        <v/>
      </c>
      <c r="C119" s="10">
        <f>IF(AND(Premissas!$B$10&gt;1,A119&lt;Premissas!$B$9),B119*Premissas!$B$10,B119)</f>
        <v/>
      </c>
      <c r="D119" s="12" t="n"/>
      <c r="E119" s="10">
        <f>Precos!J119</f>
        <v/>
      </c>
      <c r="F119" s="12" t="n"/>
    </row>
    <row r="120">
      <c r="A120" s="9">
        <f>Precos!A120</f>
        <v/>
      </c>
      <c r="B120" s="10">
        <f>INDEX(Precos!$B120:$I120,MATCH(Premissas!$B$8,Precos!$B$3:$I$3,0))</f>
        <v/>
      </c>
      <c r="C120" s="10">
        <f>IF(AND(Premissas!$B$10&gt;1,A120&lt;Premissas!$B$9),B120*Premissas!$B$10,B120)</f>
        <v/>
      </c>
      <c r="D120" s="12" t="n"/>
      <c r="E120" s="10">
        <f>Precos!J120</f>
        <v/>
      </c>
      <c r="F120" s="12" t="n"/>
    </row>
    <row r="121">
      <c r="A121" s="9">
        <f>Precos!A121</f>
        <v/>
      </c>
      <c r="B121" s="10">
        <f>INDEX(Precos!$B121:$I121,MATCH(Premissas!$B$8,Precos!$B$3:$I$3,0))</f>
        <v/>
      </c>
      <c r="C121" s="10">
        <f>IF(AND(Premissas!$B$10&gt;1,A121&lt;Premissas!$B$9),B121*Premissas!$B$10,B121)</f>
        <v/>
      </c>
      <c r="D121" s="12" t="n"/>
      <c r="E121" s="10">
        <f>Precos!J121</f>
        <v/>
      </c>
      <c r="F121" s="12" t="n"/>
    </row>
    <row r="122">
      <c r="A122" s="9">
        <f>Precos!A122</f>
        <v/>
      </c>
      <c r="B122" s="10">
        <f>INDEX(Precos!$B122:$I122,MATCH(Premissas!$B$8,Precos!$B$3:$I$3,0))</f>
        <v/>
      </c>
      <c r="C122" s="10">
        <f>IF(AND(Premissas!$B$10&gt;1,A122&lt;Premissas!$B$9),B122*Premissas!$B$10,B122)</f>
        <v/>
      </c>
      <c r="D122" s="12" t="n"/>
      <c r="E122" s="10">
        <f>Precos!J122</f>
        <v/>
      </c>
      <c r="F122" s="12" t="n"/>
    </row>
    <row r="123">
      <c r="A123" s="9">
        <f>Precos!A123</f>
        <v/>
      </c>
      <c r="B123" s="10">
        <f>INDEX(Precos!$B123:$I123,MATCH(Premissas!$B$8,Precos!$B$3:$I$3,0))</f>
        <v/>
      </c>
      <c r="C123" s="10">
        <f>IF(AND(Premissas!$B$10&gt;1,A123&lt;Premissas!$B$9),B123*Premissas!$B$10,B123)</f>
        <v/>
      </c>
      <c r="D123" s="12" t="n"/>
      <c r="E123" s="10">
        <f>Precos!J123</f>
        <v/>
      </c>
      <c r="F123" s="12" t="n"/>
    </row>
    <row r="124">
      <c r="A124" s="9">
        <f>Precos!A124</f>
        <v/>
      </c>
      <c r="B124" s="10">
        <f>INDEX(Precos!$B124:$I124,MATCH(Premissas!$B$8,Precos!$B$3:$I$3,0))</f>
        <v/>
      </c>
      <c r="C124" s="10">
        <f>IF(AND(Premissas!$B$10&gt;1,A124&lt;Premissas!$B$9),B124*Premissas!$B$10,B124)</f>
        <v/>
      </c>
      <c r="D124" s="12" t="n"/>
      <c r="E124" s="10">
        <f>Precos!J124</f>
        <v/>
      </c>
      <c r="F124" s="12" t="n"/>
    </row>
    <row r="125">
      <c r="A125" s="9">
        <f>Precos!A125</f>
        <v/>
      </c>
      <c r="B125" s="10">
        <f>INDEX(Precos!$B125:$I125,MATCH(Premissas!$B$8,Precos!$B$3:$I$3,0))</f>
        <v/>
      </c>
      <c r="C125" s="10">
        <f>IF(AND(Premissas!$B$10&gt;1,A125&lt;Premissas!$B$9),B125*Premissas!$B$10,B125)</f>
        <v/>
      </c>
      <c r="D125" s="12" t="n"/>
      <c r="E125" s="10">
        <f>Precos!J125</f>
        <v/>
      </c>
      <c r="F125" s="12" t="n"/>
    </row>
    <row r="126">
      <c r="A126" s="9">
        <f>Precos!A126</f>
        <v/>
      </c>
      <c r="B126" s="10">
        <f>INDEX(Precos!$B126:$I126,MATCH(Premissas!$B$8,Precos!$B$3:$I$3,0))</f>
        <v/>
      </c>
      <c r="C126" s="10">
        <f>IF(AND(Premissas!$B$10&gt;1,A126&lt;Premissas!$B$9),B126*Premissas!$B$10,B126)</f>
        <v/>
      </c>
      <c r="D126" s="12" t="n"/>
      <c r="E126" s="10">
        <f>Precos!J126</f>
        <v/>
      </c>
      <c r="F126" s="12" t="n"/>
    </row>
    <row r="127">
      <c r="A127" s="9">
        <f>Precos!A127</f>
        <v/>
      </c>
      <c r="B127" s="10">
        <f>INDEX(Precos!$B127:$I127,MATCH(Premissas!$B$8,Precos!$B$3:$I$3,0))</f>
        <v/>
      </c>
      <c r="C127" s="10">
        <f>IF(AND(Premissas!$B$10&gt;1,A127&lt;Premissas!$B$9),B127*Premissas!$B$10,B127)</f>
        <v/>
      </c>
      <c r="D127" s="12" t="n"/>
      <c r="E127" s="10">
        <f>Precos!J127</f>
        <v/>
      </c>
      <c r="F127" s="12" t="n"/>
    </row>
    <row r="128">
      <c r="A128" s="9">
        <f>Precos!A128</f>
        <v/>
      </c>
      <c r="B128" s="10">
        <f>INDEX(Precos!$B128:$I128,MATCH(Premissas!$B$8,Precos!$B$3:$I$3,0))</f>
        <v/>
      </c>
      <c r="C128" s="10">
        <f>IF(AND(Premissas!$B$10&gt;1,A128&lt;Premissas!$B$9),B128*Premissas!$B$10,B128)</f>
        <v/>
      </c>
      <c r="D128" s="12" t="n"/>
      <c r="E128" s="10">
        <f>Precos!J128</f>
        <v/>
      </c>
      <c r="F128" s="12" t="n"/>
    </row>
    <row r="129">
      <c r="A129" s="9">
        <f>Precos!A129</f>
        <v/>
      </c>
      <c r="B129" s="10">
        <f>INDEX(Precos!$B129:$I129,MATCH(Premissas!$B$8,Precos!$B$3:$I$3,0))</f>
        <v/>
      </c>
      <c r="C129" s="10">
        <f>IF(AND(Premissas!$B$10&gt;1,A129&lt;Premissas!$B$9),B129*Premissas!$B$10,B129)</f>
        <v/>
      </c>
      <c r="D129" s="12" t="n"/>
      <c r="E129" s="10">
        <f>Precos!J129</f>
        <v/>
      </c>
      <c r="F129" s="12" t="n"/>
    </row>
    <row r="130">
      <c r="A130" s="9">
        <f>Precos!A130</f>
        <v/>
      </c>
      <c r="B130" s="10">
        <f>INDEX(Precos!$B130:$I130,MATCH(Premissas!$B$8,Precos!$B$3:$I$3,0))</f>
        <v/>
      </c>
      <c r="C130" s="10">
        <f>IF(AND(Premissas!$B$10&gt;1,A130&lt;Premissas!$B$9),B130*Premissas!$B$10,B130)</f>
        <v/>
      </c>
      <c r="D130" s="12" t="n"/>
      <c r="E130" s="10">
        <f>Precos!J130</f>
        <v/>
      </c>
      <c r="F130" s="12" t="n"/>
    </row>
    <row r="131">
      <c r="A131" s="9">
        <f>Precos!A131</f>
        <v/>
      </c>
      <c r="B131" s="10">
        <f>INDEX(Precos!$B131:$I131,MATCH(Premissas!$B$8,Precos!$B$3:$I$3,0))</f>
        <v/>
      </c>
      <c r="C131" s="10">
        <f>IF(AND(Premissas!$B$10&gt;1,A131&lt;Premissas!$B$9),B131*Premissas!$B$10,B131)</f>
        <v/>
      </c>
      <c r="D131" s="12" t="n"/>
      <c r="E131" s="10">
        <f>Precos!J131</f>
        <v/>
      </c>
      <c r="F131" s="12" t="n"/>
    </row>
    <row r="132">
      <c r="A132" s="9">
        <f>Precos!A132</f>
        <v/>
      </c>
      <c r="B132" s="10">
        <f>INDEX(Precos!$B132:$I132,MATCH(Premissas!$B$8,Precos!$B$3:$I$3,0))</f>
        <v/>
      </c>
      <c r="C132" s="10">
        <f>IF(AND(Premissas!$B$10&gt;1,A132&lt;Premissas!$B$9),B132*Premissas!$B$10,B132)</f>
        <v/>
      </c>
      <c r="D132" s="12" t="n"/>
      <c r="E132" s="10">
        <f>Precos!J132</f>
        <v/>
      </c>
      <c r="F132" s="12" t="n"/>
    </row>
    <row r="133">
      <c r="A133" s="9">
        <f>Precos!A133</f>
        <v/>
      </c>
      <c r="B133" s="10">
        <f>INDEX(Precos!$B133:$I133,MATCH(Premissas!$B$8,Precos!$B$3:$I$3,0))</f>
        <v/>
      </c>
      <c r="C133" s="10">
        <f>IF(AND(Premissas!$B$10&gt;1,A133&lt;Premissas!$B$9),B133*Premissas!$B$10,B133)</f>
        <v/>
      </c>
      <c r="D133" s="12" t="n"/>
      <c r="E133" s="10">
        <f>Precos!J133</f>
        <v/>
      </c>
      <c r="F133" s="12" t="n"/>
    </row>
    <row r="134">
      <c r="A134" s="9">
        <f>Precos!A134</f>
        <v/>
      </c>
      <c r="B134" s="10">
        <f>INDEX(Precos!$B134:$I134,MATCH(Premissas!$B$8,Precos!$B$3:$I$3,0))</f>
        <v/>
      </c>
      <c r="C134" s="10">
        <f>IF(AND(Premissas!$B$10&gt;1,A134&lt;Premissas!$B$9),B134*Premissas!$B$10,B134)</f>
        <v/>
      </c>
      <c r="D134" s="12" t="n"/>
      <c r="E134" s="10">
        <f>Precos!J134</f>
        <v/>
      </c>
      <c r="F134" s="12" t="n"/>
    </row>
    <row r="135">
      <c r="A135" s="9">
        <f>Precos!A135</f>
        <v/>
      </c>
      <c r="B135" s="10">
        <f>INDEX(Precos!$B135:$I135,MATCH(Premissas!$B$8,Precos!$B$3:$I$3,0))</f>
        <v/>
      </c>
      <c r="C135" s="10">
        <f>IF(AND(Premissas!$B$10&gt;1,A135&lt;Premissas!$B$9),B135*Premissas!$B$10,B135)</f>
        <v/>
      </c>
      <c r="D135" s="12" t="n"/>
      <c r="E135" s="10">
        <f>Precos!J135</f>
        <v/>
      </c>
      <c r="F135" s="12" t="n"/>
    </row>
    <row r="136">
      <c r="A136" s="9">
        <f>Precos!A136</f>
        <v/>
      </c>
      <c r="B136" s="10">
        <f>INDEX(Precos!$B136:$I136,MATCH(Premissas!$B$8,Precos!$B$3:$I$3,0))</f>
        <v/>
      </c>
      <c r="C136" s="10">
        <f>IF(AND(Premissas!$B$10&gt;1,A136&lt;Premissas!$B$9),B136*Premissas!$B$10,B136)</f>
        <v/>
      </c>
      <c r="D136" s="12" t="n"/>
      <c r="E136" s="10">
        <f>Precos!J136</f>
        <v/>
      </c>
      <c r="F136" s="12" t="n"/>
    </row>
    <row r="137">
      <c r="A137" s="9">
        <f>Precos!A137</f>
        <v/>
      </c>
      <c r="B137" s="10">
        <f>INDEX(Precos!$B137:$I137,MATCH(Premissas!$B$8,Precos!$B$3:$I$3,0))</f>
        <v/>
      </c>
      <c r="C137" s="10">
        <f>IF(AND(Premissas!$B$10&gt;1,A137&lt;Premissas!$B$9),B137*Premissas!$B$10,B137)</f>
        <v/>
      </c>
      <c r="D137" s="12" t="n"/>
      <c r="E137" s="10">
        <f>Precos!J137</f>
        <v/>
      </c>
      <c r="F137" s="12" t="n"/>
    </row>
    <row r="138">
      <c r="A138" s="9">
        <f>Precos!A138</f>
        <v/>
      </c>
      <c r="B138" s="10">
        <f>INDEX(Precos!$B138:$I138,MATCH(Premissas!$B$8,Precos!$B$3:$I$3,0))</f>
        <v/>
      </c>
      <c r="C138" s="10">
        <f>IF(AND(Premissas!$B$10&gt;1,A138&lt;Premissas!$B$9),B138*Premissas!$B$10,B138)</f>
        <v/>
      </c>
      <c r="D138" s="12" t="n"/>
      <c r="E138" s="10">
        <f>Precos!J138</f>
        <v/>
      </c>
      <c r="F138" s="12" t="n"/>
    </row>
    <row r="139">
      <c r="A139" s="9">
        <f>Precos!A139</f>
        <v/>
      </c>
      <c r="B139" s="10">
        <f>INDEX(Precos!$B139:$I139,MATCH(Premissas!$B$8,Precos!$B$3:$I$3,0))</f>
        <v/>
      </c>
      <c r="C139" s="10">
        <f>IF(AND(Premissas!$B$10&gt;1,A139&lt;Premissas!$B$9),B139*Premissas!$B$10,B139)</f>
        <v/>
      </c>
      <c r="D139" s="12" t="n"/>
      <c r="E139" s="10">
        <f>Precos!J139</f>
        <v/>
      </c>
      <c r="F139" s="12" t="n"/>
    </row>
    <row r="140">
      <c r="A140" s="9">
        <f>Precos!A140</f>
        <v/>
      </c>
      <c r="B140" s="10">
        <f>INDEX(Precos!$B140:$I140,MATCH(Premissas!$B$8,Precos!$B$3:$I$3,0))</f>
        <v/>
      </c>
      <c r="C140" s="10">
        <f>IF(AND(Premissas!$B$10&gt;1,A140&lt;Premissas!$B$9),B140*Premissas!$B$10,B140)</f>
        <v/>
      </c>
      <c r="D140" s="12" t="n"/>
      <c r="E140" s="10">
        <f>Precos!J140</f>
        <v/>
      </c>
      <c r="F140" s="12" t="n"/>
    </row>
    <row r="141">
      <c r="A141" s="9">
        <f>Precos!A141</f>
        <v/>
      </c>
      <c r="B141" s="10">
        <f>INDEX(Precos!$B141:$I141,MATCH(Premissas!$B$8,Precos!$B$3:$I$3,0))</f>
        <v/>
      </c>
      <c r="C141" s="10">
        <f>IF(AND(Premissas!$B$10&gt;1,A141&lt;Premissas!$B$9),B141*Premissas!$B$10,B141)</f>
        <v/>
      </c>
      <c r="D141" s="12" t="n"/>
      <c r="E141" s="10">
        <f>Precos!J141</f>
        <v/>
      </c>
      <c r="F141" s="12" t="n"/>
    </row>
    <row r="142">
      <c r="A142" s="9">
        <f>Precos!A142</f>
        <v/>
      </c>
      <c r="B142" s="10">
        <f>INDEX(Precos!$B142:$I142,MATCH(Premissas!$B$8,Precos!$B$3:$I$3,0))</f>
        <v/>
      </c>
      <c r="C142" s="10">
        <f>IF(AND(Premissas!$B$10&gt;1,A142&lt;Premissas!$B$9),B142*Premissas!$B$10,B142)</f>
        <v/>
      </c>
      <c r="D142" s="12" t="n"/>
      <c r="E142" s="10">
        <f>Precos!J142</f>
        <v/>
      </c>
      <c r="F142" s="12" t="n"/>
    </row>
    <row r="143">
      <c r="A143" s="9">
        <f>Precos!A143</f>
        <v/>
      </c>
      <c r="B143" s="10">
        <f>INDEX(Precos!$B143:$I143,MATCH(Premissas!$B$8,Precos!$B$3:$I$3,0))</f>
        <v/>
      </c>
      <c r="C143" s="10">
        <f>IF(AND(Premissas!$B$10&gt;1,A143&lt;Premissas!$B$9),B143*Premissas!$B$10,B143)</f>
        <v/>
      </c>
      <c r="D143" s="12" t="n"/>
      <c r="E143" s="10">
        <f>Precos!J143</f>
        <v/>
      </c>
      <c r="F143" s="12" t="n"/>
    </row>
    <row r="144">
      <c r="A144" s="9">
        <f>Precos!A144</f>
        <v/>
      </c>
      <c r="B144" s="10">
        <f>INDEX(Precos!$B144:$I144,MATCH(Premissas!$B$8,Precos!$B$3:$I$3,0))</f>
        <v/>
      </c>
      <c r="C144" s="10">
        <f>IF(AND(Premissas!$B$10&gt;1,A144&lt;Premissas!$B$9),B144*Premissas!$B$10,B144)</f>
        <v/>
      </c>
      <c r="D144" s="12" t="n"/>
      <c r="E144" s="10">
        <f>Precos!J144</f>
        <v/>
      </c>
      <c r="F144" s="12" t="n"/>
    </row>
    <row r="145">
      <c r="A145" s="9">
        <f>Precos!A145</f>
        <v/>
      </c>
      <c r="B145" s="10">
        <f>INDEX(Precos!$B145:$I145,MATCH(Premissas!$B$8,Precos!$B$3:$I$3,0))</f>
        <v/>
      </c>
      <c r="C145" s="10">
        <f>IF(AND(Premissas!$B$10&gt;1,A145&lt;Premissas!$B$9),B145*Premissas!$B$10,B145)</f>
        <v/>
      </c>
      <c r="D145" s="12" t="n"/>
      <c r="E145" s="10">
        <f>Precos!J145</f>
        <v/>
      </c>
      <c r="F145" s="12" t="n"/>
    </row>
    <row r="146">
      <c r="A146" s="9">
        <f>Precos!A146</f>
        <v/>
      </c>
      <c r="B146" s="10">
        <f>INDEX(Precos!$B146:$I146,MATCH(Premissas!$B$8,Precos!$B$3:$I$3,0))</f>
        <v/>
      </c>
      <c r="C146" s="10">
        <f>IF(AND(Premissas!$B$10&gt;1,A146&lt;Premissas!$B$9),B146*Premissas!$B$10,B146)</f>
        <v/>
      </c>
      <c r="D146" s="12" t="n"/>
      <c r="E146" s="10">
        <f>Precos!J146</f>
        <v/>
      </c>
      <c r="F146" s="12" t="n"/>
    </row>
    <row r="147">
      <c r="A147" s="9">
        <f>Precos!A147</f>
        <v/>
      </c>
      <c r="B147" s="10">
        <f>INDEX(Precos!$B147:$I147,MATCH(Premissas!$B$8,Precos!$B$3:$I$3,0))</f>
        <v/>
      </c>
      <c r="C147" s="10">
        <f>IF(AND(Premissas!$B$10&gt;1,A147&lt;Premissas!$B$9),B147*Premissas!$B$10,B147)</f>
        <v/>
      </c>
      <c r="D147" s="12" t="n"/>
      <c r="E147" s="10">
        <f>Precos!J147</f>
        <v/>
      </c>
      <c r="F147" s="12" t="n"/>
    </row>
    <row r="148">
      <c r="A148" s="9">
        <f>Precos!A148</f>
        <v/>
      </c>
      <c r="B148" s="10">
        <f>INDEX(Precos!$B148:$I148,MATCH(Premissas!$B$8,Precos!$B$3:$I$3,0))</f>
        <v/>
      </c>
      <c r="C148" s="10">
        <f>IF(AND(Premissas!$B$10&gt;1,A148&lt;Premissas!$B$9),B148*Premissas!$B$10,B148)</f>
        <v/>
      </c>
      <c r="D148" s="12" t="n"/>
      <c r="E148" s="10">
        <f>Precos!J148</f>
        <v/>
      </c>
      <c r="F148" s="12" t="n"/>
    </row>
    <row r="149">
      <c r="A149" s="9">
        <f>Precos!A149</f>
        <v/>
      </c>
      <c r="B149" s="10">
        <f>INDEX(Precos!$B149:$I149,MATCH(Premissas!$B$8,Precos!$B$3:$I$3,0))</f>
        <v/>
      </c>
      <c r="C149" s="10">
        <f>IF(AND(Premissas!$B$10&gt;1,A149&lt;Premissas!$B$9),B149*Premissas!$B$10,B149)</f>
        <v/>
      </c>
      <c r="D149" s="12" t="n"/>
      <c r="E149" s="10">
        <f>Precos!J149</f>
        <v/>
      </c>
      <c r="F149" s="12" t="n"/>
    </row>
    <row r="150">
      <c r="A150" s="9">
        <f>Precos!A150</f>
        <v/>
      </c>
      <c r="B150" s="10">
        <f>INDEX(Precos!$B150:$I150,MATCH(Premissas!$B$8,Precos!$B$3:$I$3,0))</f>
        <v/>
      </c>
      <c r="C150" s="10">
        <f>IF(AND(Premissas!$B$10&gt;1,A150&lt;Premissas!$B$9),B150*Premissas!$B$10,B150)</f>
        <v/>
      </c>
      <c r="D150" s="12" t="n"/>
      <c r="E150" s="10">
        <f>Precos!J150</f>
        <v/>
      </c>
      <c r="F150" s="12" t="n"/>
    </row>
    <row r="151">
      <c r="A151" s="9">
        <f>Precos!A151</f>
        <v/>
      </c>
      <c r="B151" s="10">
        <f>INDEX(Precos!$B151:$I151,MATCH(Premissas!$B$8,Precos!$B$3:$I$3,0))</f>
        <v/>
      </c>
      <c r="C151" s="10">
        <f>IF(AND(Premissas!$B$10&gt;1,A151&lt;Premissas!$B$9),B151*Premissas!$B$10,B151)</f>
        <v/>
      </c>
      <c r="D151" s="12" t="n"/>
      <c r="E151" s="10">
        <f>Precos!J151</f>
        <v/>
      </c>
      <c r="F151" s="12" t="n"/>
    </row>
    <row r="152">
      <c r="A152" s="9">
        <f>Precos!A152</f>
        <v/>
      </c>
      <c r="B152" s="10">
        <f>INDEX(Precos!$B152:$I152,MATCH(Premissas!$B$8,Precos!$B$3:$I$3,0))</f>
        <v/>
      </c>
      <c r="C152" s="10">
        <f>IF(AND(Premissas!$B$10&gt;1,A152&lt;Premissas!$B$9),B152*Premissas!$B$10,B152)</f>
        <v/>
      </c>
      <c r="D152" s="12" t="n"/>
      <c r="E152" s="10">
        <f>Precos!J152</f>
        <v/>
      </c>
      <c r="F152" s="12" t="n"/>
    </row>
    <row r="153">
      <c r="A153" s="9">
        <f>Precos!A153</f>
        <v/>
      </c>
      <c r="B153" s="10">
        <f>INDEX(Precos!$B153:$I153,MATCH(Premissas!$B$8,Precos!$B$3:$I$3,0))</f>
        <v/>
      </c>
      <c r="C153" s="10">
        <f>IF(AND(Premissas!$B$10&gt;1,A153&lt;Premissas!$B$9),B153*Premissas!$B$10,B153)</f>
        <v/>
      </c>
      <c r="D153" s="12" t="n"/>
      <c r="E153" s="10">
        <f>Precos!J153</f>
        <v/>
      </c>
      <c r="F153" s="12" t="n"/>
    </row>
    <row r="154">
      <c r="A154" s="9">
        <f>Precos!A154</f>
        <v/>
      </c>
      <c r="B154" s="10">
        <f>INDEX(Precos!$B154:$I154,MATCH(Premissas!$B$8,Precos!$B$3:$I$3,0))</f>
        <v/>
      </c>
      <c r="C154" s="10">
        <f>IF(AND(Premissas!$B$10&gt;1,A154&lt;Premissas!$B$9),B154*Premissas!$B$10,B154)</f>
        <v/>
      </c>
      <c r="D154" s="12" t="n"/>
      <c r="E154" s="10">
        <f>Precos!J154</f>
        <v/>
      </c>
      <c r="F154" s="12" t="n"/>
    </row>
    <row r="155">
      <c r="A155" s="9">
        <f>Precos!A155</f>
        <v/>
      </c>
      <c r="B155" s="10">
        <f>INDEX(Precos!$B155:$I155,MATCH(Premissas!$B$8,Precos!$B$3:$I$3,0))</f>
        <v/>
      </c>
      <c r="C155" s="10">
        <f>IF(AND(Premissas!$B$10&gt;1,A155&lt;Premissas!$B$9),B155*Premissas!$B$10,B155)</f>
        <v/>
      </c>
      <c r="D155" s="12" t="n"/>
      <c r="E155" s="10">
        <f>Precos!J155</f>
        <v/>
      </c>
      <c r="F155" s="12" t="n"/>
    </row>
    <row r="156">
      <c r="A156" s="9">
        <f>Precos!A156</f>
        <v/>
      </c>
      <c r="B156" s="10">
        <f>INDEX(Precos!$B156:$I156,MATCH(Premissas!$B$8,Precos!$B$3:$I$3,0))</f>
        <v/>
      </c>
      <c r="C156" s="10">
        <f>IF(AND(Premissas!$B$10&gt;1,A156&lt;Premissas!$B$9),B156*Premissas!$B$10,B156)</f>
        <v/>
      </c>
      <c r="D156" s="12" t="n"/>
      <c r="E156" s="10">
        <f>Precos!J156</f>
        <v/>
      </c>
      <c r="F156" s="12" t="n"/>
    </row>
    <row r="157">
      <c r="A157" s="9">
        <f>Precos!A157</f>
        <v/>
      </c>
      <c r="B157" s="10">
        <f>INDEX(Precos!$B157:$I157,MATCH(Premissas!$B$8,Precos!$B$3:$I$3,0))</f>
        <v/>
      </c>
      <c r="C157" s="10">
        <f>IF(AND(Premissas!$B$10&gt;1,A157&lt;Premissas!$B$9),B157*Premissas!$B$10,B157)</f>
        <v/>
      </c>
      <c r="D157" s="12" t="n"/>
      <c r="E157" s="10">
        <f>Precos!J157</f>
        <v/>
      </c>
      <c r="F157" s="12" t="n"/>
    </row>
    <row r="158">
      <c r="A158" s="9">
        <f>Precos!A158</f>
        <v/>
      </c>
      <c r="B158" s="10">
        <f>INDEX(Precos!$B158:$I158,MATCH(Premissas!$B$8,Precos!$B$3:$I$3,0))</f>
        <v/>
      </c>
      <c r="C158" s="10">
        <f>IF(AND(Premissas!$B$10&gt;1,A158&lt;Premissas!$B$9),B158*Premissas!$B$10,B158)</f>
        <v/>
      </c>
      <c r="D158" s="12" t="n"/>
      <c r="E158" s="10">
        <f>Precos!J158</f>
        <v/>
      </c>
      <c r="F158" s="12" t="n"/>
    </row>
    <row r="159">
      <c r="A159" s="9">
        <f>Precos!A159</f>
        <v/>
      </c>
      <c r="B159" s="10">
        <f>INDEX(Precos!$B159:$I159,MATCH(Premissas!$B$8,Precos!$B$3:$I$3,0))</f>
        <v/>
      </c>
      <c r="C159" s="10">
        <f>IF(AND(Premissas!$B$10&gt;1,A159&lt;Premissas!$B$9),B159*Premissas!$B$10,B159)</f>
        <v/>
      </c>
      <c r="D159" s="12" t="n"/>
      <c r="E159" s="10">
        <f>Precos!J159</f>
        <v/>
      </c>
      <c r="F159" s="12" t="n"/>
    </row>
    <row r="160">
      <c r="A160" s="9">
        <f>Precos!A160</f>
        <v/>
      </c>
      <c r="B160" s="10">
        <f>INDEX(Precos!$B160:$I160,MATCH(Premissas!$B$8,Precos!$B$3:$I$3,0))</f>
        <v/>
      </c>
      <c r="C160" s="10">
        <f>IF(AND(Premissas!$B$10&gt;1,A160&lt;Premissas!$B$9),B160*Premissas!$B$10,B160)</f>
        <v/>
      </c>
      <c r="D160" s="12" t="n"/>
      <c r="E160" s="10">
        <f>Precos!J160</f>
        <v/>
      </c>
      <c r="F160" s="12" t="n"/>
    </row>
    <row r="161">
      <c r="A161" s="9">
        <f>Precos!A161</f>
        <v/>
      </c>
      <c r="B161" s="10">
        <f>INDEX(Precos!$B161:$I161,MATCH(Premissas!$B$8,Precos!$B$3:$I$3,0))</f>
        <v/>
      </c>
      <c r="C161" s="10">
        <f>IF(AND(Premissas!$B$10&gt;1,A161&lt;Premissas!$B$9),B161*Premissas!$B$10,B161)</f>
        <v/>
      </c>
      <c r="D161" s="12" t="n"/>
      <c r="E161" s="10">
        <f>Precos!J161</f>
        <v/>
      </c>
      <c r="F161" s="12" t="n"/>
    </row>
    <row r="162">
      <c r="A162" s="9">
        <f>Precos!A162</f>
        <v/>
      </c>
      <c r="B162" s="10">
        <f>INDEX(Precos!$B162:$I162,MATCH(Premissas!$B$8,Precos!$B$3:$I$3,0))</f>
        <v/>
      </c>
      <c r="C162" s="10">
        <f>IF(AND(Premissas!$B$10&gt;1,A162&lt;Premissas!$B$9),B162*Premissas!$B$10,B162)</f>
        <v/>
      </c>
      <c r="D162" s="12" t="n"/>
      <c r="E162" s="10">
        <f>Precos!J162</f>
        <v/>
      </c>
      <c r="F162" s="12" t="n"/>
    </row>
    <row r="163">
      <c r="A163" s="9">
        <f>Precos!A163</f>
        <v/>
      </c>
      <c r="B163" s="10">
        <f>INDEX(Precos!$B163:$I163,MATCH(Premissas!$B$8,Precos!$B$3:$I$3,0))</f>
        <v/>
      </c>
      <c r="C163" s="10">
        <f>IF(AND(Premissas!$B$10&gt;1,A163&lt;Premissas!$B$9),B163*Premissas!$B$10,B163)</f>
        <v/>
      </c>
      <c r="D163" s="12" t="n"/>
      <c r="E163" s="10">
        <f>Precos!J163</f>
        <v/>
      </c>
      <c r="F163" s="12" t="n"/>
    </row>
    <row r="164">
      <c r="A164" s="9">
        <f>Precos!A164</f>
        <v/>
      </c>
      <c r="B164" s="10">
        <f>INDEX(Precos!$B164:$I164,MATCH(Premissas!$B$8,Precos!$B$3:$I$3,0))</f>
        <v/>
      </c>
      <c r="C164" s="10">
        <f>IF(AND(Premissas!$B$10&gt;1,A164&lt;Premissas!$B$9),B164*Premissas!$B$10,B164)</f>
        <v/>
      </c>
      <c r="D164" s="12" t="n"/>
      <c r="E164" s="10">
        <f>Precos!J164</f>
        <v/>
      </c>
      <c r="F164" s="12" t="n"/>
    </row>
    <row r="165">
      <c r="A165" s="9">
        <f>Precos!A165</f>
        <v/>
      </c>
      <c r="B165" s="10">
        <f>INDEX(Precos!$B165:$I165,MATCH(Premissas!$B$8,Precos!$B$3:$I$3,0))</f>
        <v/>
      </c>
      <c r="C165" s="10">
        <f>IF(AND(Premissas!$B$10&gt;1,A165&lt;Premissas!$B$9),B165*Premissas!$B$10,B165)</f>
        <v/>
      </c>
      <c r="D165" s="12" t="n"/>
      <c r="E165" s="10">
        <f>Precos!J165</f>
        <v/>
      </c>
      <c r="F165" s="12" t="n"/>
    </row>
    <row r="166">
      <c r="A166" s="9">
        <f>Precos!A166</f>
        <v/>
      </c>
      <c r="B166" s="10">
        <f>INDEX(Precos!$B166:$I166,MATCH(Premissas!$B$8,Precos!$B$3:$I$3,0))</f>
        <v/>
      </c>
      <c r="C166" s="10">
        <f>IF(AND(Premissas!$B$10&gt;1,A166&lt;Premissas!$B$9),B166*Premissas!$B$10,B166)</f>
        <v/>
      </c>
      <c r="D166" s="12" t="n"/>
      <c r="E166" s="10">
        <f>Precos!J166</f>
        <v/>
      </c>
      <c r="F166" s="12" t="n"/>
    </row>
    <row r="167">
      <c r="A167" s="9">
        <f>Precos!A167</f>
        <v/>
      </c>
      <c r="B167" s="10">
        <f>INDEX(Precos!$B167:$I167,MATCH(Premissas!$B$8,Precos!$B$3:$I$3,0))</f>
        <v/>
      </c>
      <c r="C167" s="10">
        <f>IF(AND(Premissas!$B$10&gt;1,A167&lt;Premissas!$B$9),B167*Premissas!$B$10,B167)</f>
        <v/>
      </c>
      <c r="D167" s="12" t="n"/>
      <c r="E167" s="10">
        <f>Precos!J167</f>
        <v/>
      </c>
      <c r="F167" s="12" t="n"/>
    </row>
    <row r="168">
      <c r="A168" s="9">
        <f>Precos!A168</f>
        <v/>
      </c>
      <c r="B168" s="10">
        <f>INDEX(Precos!$B168:$I168,MATCH(Premissas!$B$8,Precos!$B$3:$I$3,0))</f>
        <v/>
      </c>
      <c r="C168" s="10">
        <f>IF(AND(Premissas!$B$10&gt;1,A168&lt;Premissas!$B$9),B168*Premissas!$B$10,B168)</f>
        <v/>
      </c>
      <c r="D168" s="12" t="n"/>
      <c r="E168" s="10">
        <f>Precos!J168</f>
        <v/>
      </c>
      <c r="F168" s="12" t="n"/>
    </row>
    <row r="169">
      <c r="A169" s="9">
        <f>Precos!A169</f>
        <v/>
      </c>
      <c r="B169" s="10">
        <f>INDEX(Precos!$B169:$I169,MATCH(Premissas!$B$8,Precos!$B$3:$I$3,0))</f>
        <v/>
      </c>
      <c r="C169" s="10">
        <f>IF(AND(Premissas!$B$10&gt;1,A169&lt;Premissas!$B$9),B169*Premissas!$B$10,B169)</f>
        <v/>
      </c>
      <c r="D169" s="12" t="n"/>
      <c r="E169" s="10">
        <f>Precos!J169</f>
        <v/>
      </c>
      <c r="F169" s="12" t="n"/>
    </row>
    <row r="170">
      <c r="A170" s="9">
        <f>Precos!A170</f>
        <v/>
      </c>
      <c r="B170" s="10">
        <f>INDEX(Precos!$B170:$I170,MATCH(Premissas!$B$8,Precos!$B$3:$I$3,0))</f>
        <v/>
      </c>
      <c r="C170" s="10">
        <f>IF(AND(Premissas!$B$10&gt;1,A170&lt;Premissas!$B$9),B170*Premissas!$B$10,B170)</f>
        <v/>
      </c>
      <c r="D170" s="12" t="n"/>
      <c r="E170" s="10">
        <f>Precos!J170</f>
        <v/>
      </c>
      <c r="F170" s="12" t="n"/>
    </row>
    <row r="171">
      <c r="A171" s="9">
        <f>Precos!A171</f>
        <v/>
      </c>
      <c r="B171" s="10">
        <f>INDEX(Precos!$B171:$I171,MATCH(Premissas!$B$8,Precos!$B$3:$I$3,0))</f>
        <v/>
      </c>
      <c r="C171" s="10">
        <f>IF(AND(Premissas!$B$10&gt;1,A171&lt;Premissas!$B$9),B171*Premissas!$B$10,B171)</f>
        <v/>
      </c>
      <c r="D171" s="12" t="n"/>
      <c r="E171" s="10">
        <f>Precos!J171</f>
        <v/>
      </c>
      <c r="F171" s="12" t="n"/>
    </row>
    <row r="172">
      <c r="A172" s="9">
        <f>Precos!A172</f>
        <v/>
      </c>
      <c r="B172" s="10">
        <f>INDEX(Precos!$B172:$I172,MATCH(Premissas!$B$8,Precos!$B$3:$I$3,0))</f>
        <v/>
      </c>
      <c r="C172" s="10">
        <f>IF(AND(Premissas!$B$10&gt;1,A172&lt;Premissas!$B$9),B172*Premissas!$B$10,B172)</f>
        <v/>
      </c>
      <c r="D172" s="12" t="n"/>
      <c r="E172" s="10">
        <f>Precos!J172</f>
        <v/>
      </c>
      <c r="F172" s="12" t="n"/>
    </row>
    <row r="173">
      <c r="A173" s="9">
        <f>Precos!A173</f>
        <v/>
      </c>
      <c r="B173" s="10">
        <f>INDEX(Precos!$B173:$I173,MATCH(Premissas!$B$8,Precos!$B$3:$I$3,0))</f>
        <v/>
      </c>
      <c r="C173" s="10">
        <f>IF(AND(Premissas!$B$10&gt;1,A173&lt;Premissas!$B$9),B173*Premissas!$B$10,B173)</f>
        <v/>
      </c>
      <c r="D173" s="12" t="n"/>
      <c r="E173" s="10">
        <f>Precos!J173</f>
        <v/>
      </c>
      <c r="F173" s="12" t="n"/>
    </row>
    <row r="174">
      <c r="A174" s="9">
        <f>Precos!A174</f>
        <v/>
      </c>
      <c r="B174" s="10">
        <f>INDEX(Precos!$B174:$I174,MATCH(Premissas!$B$8,Precos!$B$3:$I$3,0))</f>
        <v/>
      </c>
      <c r="C174" s="10">
        <f>IF(AND(Premissas!$B$10&gt;1,A174&lt;Premissas!$B$9),B174*Premissas!$B$10,B174)</f>
        <v/>
      </c>
      <c r="D174" s="12" t="n"/>
      <c r="E174" s="10">
        <f>Precos!J174</f>
        <v/>
      </c>
      <c r="F174" s="12" t="n"/>
    </row>
    <row r="175">
      <c r="A175" s="9">
        <f>Precos!A175</f>
        <v/>
      </c>
      <c r="B175" s="10">
        <f>INDEX(Precos!$B175:$I175,MATCH(Premissas!$B$8,Precos!$B$3:$I$3,0))</f>
        <v/>
      </c>
      <c r="C175" s="10">
        <f>IF(AND(Premissas!$B$10&gt;1,A175&lt;Premissas!$B$9),B175*Premissas!$B$10,B175)</f>
        <v/>
      </c>
      <c r="D175" s="12" t="n"/>
      <c r="E175" s="10">
        <f>Precos!J175</f>
        <v/>
      </c>
      <c r="F175" s="12" t="n"/>
    </row>
    <row r="176">
      <c r="A176" s="9">
        <f>Precos!A176</f>
        <v/>
      </c>
      <c r="B176" s="10">
        <f>INDEX(Precos!$B176:$I176,MATCH(Premissas!$B$8,Precos!$B$3:$I$3,0))</f>
        <v/>
      </c>
      <c r="C176" s="10">
        <f>IF(AND(Premissas!$B$10&gt;1,A176&lt;Premissas!$B$9),B176*Premissas!$B$10,B176)</f>
        <v/>
      </c>
      <c r="D176" s="12" t="n"/>
      <c r="E176" s="10">
        <f>Precos!J176</f>
        <v/>
      </c>
      <c r="F176" s="12" t="n"/>
    </row>
    <row r="177">
      <c r="A177" s="9">
        <f>Precos!A177</f>
        <v/>
      </c>
      <c r="B177" s="10">
        <f>INDEX(Precos!$B177:$I177,MATCH(Premissas!$B$8,Precos!$B$3:$I$3,0))</f>
        <v/>
      </c>
      <c r="C177" s="10">
        <f>IF(AND(Premissas!$B$10&gt;1,A177&lt;Premissas!$B$9),B177*Premissas!$B$10,B177)</f>
        <v/>
      </c>
      <c r="D177" s="12" t="n"/>
      <c r="E177" s="10">
        <f>Precos!J177</f>
        <v/>
      </c>
      <c r="F177" s="12" t="n"/>
    </row>
    <row r="178">
      <c r="A178" s="9">
        <f>Precos!A178</f>
        <v/>
      </c>
      <c r="B178" s="10">
        <f>INDEX(Precos!$B178:$I178,MATCH(Premissas!$B$8,Precos!$B$3:$I$3,0))</f>
        <v/>
      </c>
      <c r="C178" s="10">
        <f>IF(AND(Premissas!$B$10&gt;1,A178&lt;Premissas!$B$9),B178*Premissas!$B$10,B178)</f>
        <v/>
      </c>
      <c r="D178" s="12" t="n"/>
      <c r="E178" s="10">
        <f>Precos!J178</f>
        <v/>
      </c>
      <c r="F178" s="12" t="n"/>
    </row>
    <row r="179">
      <c r="A179" s="9">
        <f>Precos!A179</f>
        <v/>
      </c>
      <c r="B179" s="10">
        <f>INDEX(Precos!$B179:$I179,MATCH(Premissas!$B$8,Precos!$B$3:$I$3,0))</f>
        <v/>
      </c>
      <c r="C179" s="10">
        <f>IF(AND(Premissas!$B$10&gt;1,A179&lt;Premissas!$B$9),B179*Premissas!$B$10,B179)</f>
        <v/>
      </c>
      <c r="D179" s="12" t="n"/>
      <c r="E179" s="10">
        <f>Precos!J179</f>
        <v/>
      </c>
      <c r="F179" s="12" t="n"/>
    </row>
    <row r="180">
      <c r="A180" s="9">
        <f>Precos!A180</f>
        <v/>
      </c>
      <c r="B180" s="10">
        <f>INDEX(Precos!$B180:$I180,MATCH(Premissas!$B$8,Precos!$B$3:$I$3,0))</f>
        <v/>
      </c>
      <c r="C180" s="10">
        <f>IF(AND(Premissas!$B$10&gt;1,A180&lt;Premissas!$B$9),B180*Premissas!$B$10,B180)</f>
        <v/>
      </c>
      <c r="D180" s="12" t="n"/>
      <c r="E180" s="10">
        <f>Precos!J180</f>
        <v/>
      </c>
      <c r="F180" s="12" t="n"/>
    </row>
    <row r="181">
      <c r="A181" s="9">
        <f>Precos!A181</f>
        <v/>
      </c>
      <c r="B181" s="10">
        <f>INDEX(Precos!$B181:$I181,MATCH(Premissas!$B$8,Precos!$B$3:$I$3,0))</f>
        <v/>
      </c>
      <c r="C181" s="10">
        <f>IF(AND(Premissas!$B$10&gt;1,A181&lt;Premissas!$B$9),B181*Premissas!$B$10,B181)</f>
        <v/>
      </c>
      <c r="D181" s="12" t="n"/>
      <c r="E181" s="10">
        <f>Precos!J181</f>
        <v/>
      </c>
      <c r="F181" s="12" t="n"/>
    </row>
    <row r="182">
      <c r="A182" s="9">
        <f>Precos!A182</f>
        <v/>
      </c>
      <c r="B182" s="10">
        <f>INDEX(Precos!$B182:$I182,MATCH(Premissas!$B$8,Precos!$B$3:$I$3,0))</f>
        <v/>
      </c>
      <c r="C182" s="10">
        <f>IF(AND(Premissas!$B$10&gt;1,A182&lt;Premissas!$B$9),B182*Premissas!$B$10,B182)</f>
        <v/>
      </c>
      <c r="D182" s="12" t="n"/>
      <c r="E182" s="10">
        <f>Precos!J182</f>
        <v/>
      </c>
      <c r="F182" s="12" t="n"/>
    </row>
    <row r="183">
      <c r="A183" s="9">
        <f>Precos!A183</f>
        <v/>
      </c>
      <c r="B183" s="10">
        <f>INDEX(Precos!$B183:$I183,MATCH(Premissas!$B$8,Precos!$B$3:$I$3,0))</f>
        <v/>
      </c>
      <c r="C183" s="10">
        <f>IF(AND(Premissas!$B$10&gt;1,A183&lt;Premissas!$B$9),B183*Premissas!$B$10,B183)</f>
        <v/>
      </c>
      <c r="D183" s="12" t="n"/>
      <c r="E183" s="10">
        <f>Precos!J183</f>
        <v/>
      </c>
      <c r="F183" s="12" t="n"/>
    </row>
    <row r="184">
      <c r="A184" s="9">
        <f>Precos!A184</f>
        <v/>
      </c>
      <c r="B184" s="10">
        <f>INDEX(Precos!$B184:$I184,MATCH(Premissas!$B$8,Precos!$B$3:$I$3,0))</f>
        <v/>
      </c>
      <c r="C184" s="10">
        <f>IF(AND(Premissas!$B$10&gt;1,A184&lt;Premissas!$B$9),B184*Premissas!$B$10,B184)</f>
        <v/>
      </c>
      <c r="D184" s="12" t="n"/>
      <c r="E184" s="10">
        <f>Precos!J184</f>
        <v/>
      </c>
      <c r="F184" s="12" t="n"/>
    </row>
    <row r="185">
      <c r="A185" s="9">
        <f>Precos!A185</f>
        <v/>
      </c>
      <c r="B185" s="10">
        <f>INDEX(Precos!$B185:$I185,MATCH(Premissas!$B$8,Precos!$B$3:$I$3,0))</f>
        <v/>
      </c>
      <c r="C185" s="10">
        <f>IF(AND(Premissas!$B$10&gt;1,A185&lt;Premissas!$B$9),B185*Premissas!$B$10,B185)</f>
        <v/>
      </c>
      <c r="D185" s="12" t="n"/>
      <c r="E185" s="10">
        <f>Precos!J185</f>
        <v/>
      </c>
      <c r="F185" s="12" t="n"/>
    </row>
    <row r="186">
      <c r="A186" s="9">
        <f>Precos!A186</f>
        <v/>
      </c>
      <c r="B186" s="10">
        <f>INDEX(Precos!$B186:$I186,MATCH(Premissas!$B$8,Precos!$B$3:$I$3,0))</f>
        <v/>
      </c>
      <c r="C186" s="10">
        <f>IF(AND(Premissas!$B$10&gt;1,A186&lt;Premissas!$B$9),B186*Premissas!$B$10,B186)</f>
        <v/>
      </c>
      <c r="D186" s="12" t="n"/>
      <c r="E186" s="10">
        <f>Precos!J186</f>
        <v/>
      </c>
      <c r="F186" s="12" t="n"/>
    </row>
    <row r="187">
      <c r="A187" s="9">
        <f>Precos!A187</f>
        <v/>
      </c>
      <c r="B187" s="10">
        <f>INDEX(Precos!$B187:$I187,MATCH(Premissas!$B$8,Precos!$B$3:$I$3,0))</f>
        <v/>
      </c>
      <c r="C187" s="10">
        <f>IF(AND(Premissas!$B$10&gt;1,A187&lt;Premissas!$B$9),B187*Premissas!$B$10,B187)</f>
        <v/>
      </c>
      <c r="D187" s="12" t="n"/>
      <c r="E187" s="10">
        <f>Precos!J187</f>
        <v/>
      </c>
      <c r="F187" s="12" t="n"/>
    </row>
    <row r="188">
      <c r="A188" s="9">
        <f>Precos!A188</f>
        <v/>
      </c>
      <c r="B188" s="10">
        <f>INDEX(Precos!$B188:$I188,MATCH(Premissas!$B$8,Precos!$B$3:$I$3,0))</f>
        <v/>
      </c>
      <c r="C188" s="10">
        <f>IF(AND(Premissas!$B$10&gt;1,A188&lt;Premissas!$B$9),B188*Premissas!$B$10,B188)</f>
        <v/>
      </c>
      <c r="D188" s="12" t="n"/>
      <c r="E188" s="10">
        <f>Precos!J188</f>
        <v/>
      </c>
      <c r="F188" s="12" t="n"/>
    </row>
    <row r="189">
      <c r="A189" s="9">
        <f>Precos!A189</f>
        <v/>
      </c>
      <c r="B189" s="10">
        <f>INDEX(Precos!$B189:$I189,MATCH(Premissas!$B$8,Precos!$B$3:$I$3,0))</f>
        <v/>
      </c>
      <c r="C189" s="10">
        <f>IF(AND(Premissas!$B$10&gt;1,A189&lt;Premissas!$B$9),B189*Premissas!$B$10,B189)</f>
        <v/>
      </c>
      <c r="D189" s="12" t="n"/>
      <c r="E189" s="10">
        <f>Precos!J189</f>
        <v/>
      </c>
      <c r="F189" s="12" t="n"/>
    </row>
    <row r="190">
      <c r="A190" s="9">
        <f>Precos!A190</f>
        <v/>
      </c>
      <c r="B190" s="10">
        <f>INDEX(Precos!$B190:$I190,MATCH(Premissas!$B$8,Precos!$B$3:$I$3,0))</f>
        <v/>
      </c>
      <c r="C190" s="10">
        <f>IF(AND(Premissas!$B$10&gt;1,A190&lt;Premissas!$B$9),B190*Premissas!$B$10,B190)</f>
        <v/>
      </c>
      <c r="D190" s="12" t="n"/>
      <c r="E190" s="10">
        <f>Precos!J190</f>
        <v/>
      </c>
      <c r="F190" s="12" t="n"/>
    </row>
    <row r="191">
      <c r="A191" s="9">
        <f>Precos!A191</f>
        <v/>
      </c>
      <c r="B191" s="10">
        <f>INDEX(Precos!$B191:$I191,MATCH(Premissas!$B$8,Precos!$B$3:$I$3,0))</f>
        <v/>
      </c>
      <c r="C191" s="10">
        <f>IF(AND(Premissas!$B$10&gt;1,A191&lt;Premissas!$B$9),B191*Premissas!$B$10,B191)</f>
        <v/>
      </c>
      <c r="D191" s="12" t="n"/>
      <c r="E191" s="10">
        <f>Precos!J191</f>
        <v/>
      </c>
      <c r="F191" s="12" t="n"/>
    </row>
    <row r="192">
      <c r="A192" s="9">
        <f>Precos!A192</f>
        <v/>
      </c>
      <c r="B192" s="10">
        <f>INDEX(Precos!$B192:$I192,MATCH(Premissas!$B$8,Precos!$B$3:$I$3,0))</f>
        <v/>
      </c>
      <c r="C192" s="10">
        <f>IF(AND(Premissas!$B$10&gt;1,A192&lt;Premissas!$B$9),B192*Premissas!$B$10,B192)</f>
        <v/>
      </c>
      <c r="D192" s="12" t="n"/>
      <c r="E192" s="10">
        <f>Precos!J192</f>
        <v/>
      </c>
      <c r="F192" s="12" t="n"/>
    </row>
    <row r="193">
      <c r="A193" s="9">
        <f>Precos!A193</f>
        <v/>
      </c>
      <c r="B193" s="10">
        <f>INDEX(Precos!$B193:$I193,MATCH(Premissas!$B$8,Precos!$B$3:$I$3,0))</f>
        <v/>
      </c>
      <c r="C193" s="10">
        <f>IF(AND(Premissas!$B$10&gt;1,A193&lt;Premissas!$B$9),B193*Premissas!$B$10,B193)</f>
        <v/>
      </c>
      <c r="D193" s="12" t="n"/>
      <c r="E193" s="10">
        <f>Precos!J193</f>
        <v/>
      </c>
      <c r="F193" s="12" t="n"/>
    </row>
    <row r="194">
      <c r="A194" s="9">
        <f>Precos!A194</f>
        <v/>
      </c>
      <c r="B194" s="10">
        <f>INDEX(Precos!$B194:$I194,MATCH(Premissas!$B$8,Precos!$B$3:$I$3,0))</f>
        <v/>
      </c>
      <c r="C194" s="10">
        <f>IF(AND(Premissas!$B$10&gt;1,A194&lt;Premissas!$B$9),B194*Premissas!$B$10,B194)</f>
        <v/>
      </c>
      <c r="D194" s="12" t="n"/>
      <c r="E194" s="10">
        <f>Precos!J194</f>
        <v/>
      </c>
      <c r="F194" s="12" t="n"/>
    </row>
    <row r="195">
      <c r="A195" s="9">
        <f>Precos!A195</f>
        <v/>
      </c>
      <c r="B195" s="10">
        <f>INDEX(Precos!$B195:$I195,MATCH(Premissas!$B$8,Precos!$B$3:$I$3,0))</f>
        <v/>
      </c>
      <c r="C195" s="10">
        <f>IF(AND(Premissas!$B$10&gt;1,A195&lt;Premissas!$B$9),B195*Premissas!$B$10,B195)</f>
        <v/>
      </c>
      <c r="D195" s="12" t="n"/>
      <c r="E195" s="10">
        <f>Precos!J195</f>
        <v/>
      </c>
      <c r="F195" s="12" t="n"/>
    </row>
    <row r="196">
      <c r="A196" s="9">
        <f>Precos!A196</f>
        <v/>
      </c>
      <c r="B196" s="10">
        <f>INDEX(Precos!$B196:$I196,MATCH(Premissas!$B$8,Precos!$B$3:$I$3,0))</f>
        <v/>
      </c>
      <c r="C196" s="10">
        <f>IF(AND(Premissas!$B$10&gt;1,A196&lt;Premissas!$B$9),B196*Premissas!$B$10,B196)</f>
        <v/>
      </c>
      <c r="D196" s="12" t="n"/>
      <c r="E196" s="10">
        <f>Precos!J196</f>
        <v/>
      </c>
      <c r="F196" s="12" t="n"/>
    </row>
    <row r="197">
      <c r="A197" s="9">
        <f>Precos!A197</f>
        <v/>
      </c>
      <c r="B197" s="10">
        <f>INDEX(Precos!$B197:$I197,MATCH(Premissas!$B$8,Precos!$B$3:$I$3,0))</f>
        <v/>
      </c>
      <c r="C197" s="10">
        <f>IF(AND(Premissas!$B$10&gt;1,A197&lt;Premissas!$B$9),B197*Premissas!$B$10,B197)</f>
        <v/>
      </c>
      <c r="D197" s="12" t="n"/>
      <c r="E197" s="10">
        <f>Precos!J197</f>
        <v/>
      </c>
      <c r="F197" s="12" t="n"/>
    </row>
    <row r="198">
      <c r="A198" s="9">
        <f>Precos!A198</f>
        <v/>
      </c>
      <c r="B198" s="10">
        <f>INDEX(Precos!$B198:$I198,MATCH(Premissas!$B$8,Precos!$B$3:$I$3,0))</f>
        <v/>
      </c>
      <c r="C198" s="10">
        <f>IF(AND(Premissas!$B$10&gt;1,A198&lt;Premissas!$B$9),B198*Premissas!$B$10,B198)</f>
        <v/>
      </c>
      <c r="D198" s="12" t="n"/>
      <c r="E198" s="10">
        <f>Precos!J198</f>
        <v/>
      </c>
      <c r="F198" s="12" t="n"/>
    </row>
    <row r="199">
      <c r="A199" s="9">
        <f>Precos!A199</f>
        <v/>
      </c>
      <c r="B199" s="10">
        <f>INDEX(Precos!$B199:$I199,MATCH(Premissas!$B$8,Precos!$B$3:$I$3,0))</f>
        <v/>
      </c>
      <c r="C199" s="10">
        <f>IF(AND(Premissas!$B$10&gt;1,A199&lt;Premissas!$B$9),B199*Premissas!$B$10,B199)</f>
        <v/>
      </c>
      <c r="D199" s="12" t="n"/>
      <c r="E199" s="10">
        <f>Precos!J199</f>
        <v/>
      </c>
      <c r="F199" s="12" t="n"/>
    </row>
    <row r="200">
      <c r="A200" s="9">
        <f>Precos!A200</f>
        <v/>
      </c>
      <c r="B200" s="10">
        <f>INDEX(Precos!$B200:$I200,MATCH(Premissas!$B$8,Precos!$B$3:$I$3,0))</f>
        <v/>
      </c>
      <c r="C200" s="10">
        <f>IF(AND(Premissas!$B$10&gt;1,A200&lt;Premissas!$B$9),B200*Premissas!$B$10,B200)</f>
        <v/>
      </c>
      <c r="D200" s="12" t="n"/>
      <c r="E200" s="10">
        <f>Precos!J200</f>
        <v/>
      </c>
      <c r="F200" s="12" t="n"/>
    </row>
    <row r="201">
      <c r="A201" s="9">
        <f>Precos!A201</f>
        <v/>
      </c>
      <c r="B201" s="10">
        <f>INDEX(Precos!$B201:$I201,MATCH(Premissas!$B$8,Precos!$B$3:$I$3,0))</f>
        <v/>
      </c>
      <c r="C201" s="10">
        <f>IF(AND(Premissas!$B$10&gt;1,A201&lt;Premissas!$B$9),B201*Premissas!$B$10,B201)</f>
        <v/>
      </c>
      <c r="D201" s="12" t="n"/>
      <c r="E201" s="10">
        <f>Precos!J201</f>
        <v/>
      </c>
      <c r="F201" s="12" t="n"/>
    </row>
    <row r="202">
      <c r="A202" s="9">
        <f>Precos!A202</f>
        <v/>
      </c>
      <c r="B202" s="10">
        <f>INDEX(Precos!$B202:$I202,MATCH(Premissas!$B$8,Precos!$B$3:$I$3,0))</f>
        <v/>
      </c>
      <c r="C202" s="10">
        <f>IF(AND(Premissas!$B$10&gt;1,A202&lt;Premissas!$B$9),B202*Premissas!$B$10,B202)</f>
        <v/>
      </c>
      <c r="D202" s="12" t="n"/>
      <c r="E202" s="10">
        <f>Precos!J202</f>
        <v/>
      </c>
      <c r="F202" s="12" t="n"/>
    </row>
    <row r="203">
      <c r="A203" s="9">
        <f>Precos!A203</f>
        <v/>
      </c>
      <c r="B203" s="10">
        <f>INDEX(Precos!$B203:$I203,MATCH(Premissas!$B$8,Precos!$B$3:$I$3,0))</f>
        <v/>
      </c>
      <c r="C203" s="10">
        <f>IF(AND(Premissas!$B$10&gt;1,A203&lt;Premissas!$B$9),B203*Premissas!$B$10,B203)</f>
        <v/>
      </c>
      <c r="D203" s="12" t="n"/>
      <c r="E203" s="10">
        <f>Precos!J203</f>
        <v/>
      </c>
      <c r="F203" s="12" t="n"/>
    </row>
    <row r="204">
      <c r="A204" s="9">
        <f>Precos!A204</f>
        <v/>
      </c>
      <c r="B204" s="10">
        <f>INDEX(Precos!$B204:$I204,MATCH(Premissas!$B$8,Precos!$B$3:$I$3,0))</f>
        <v/>
      </c>
      <c r="C204" s="10">
        <f>IF(AND(Premissas!$B$10&gt;1,A204&lt;Premissas!$B$9),B204*Premissas!$B$10,B204)</f>
        <v/>
      </c>
      <c r="D204" s="12" t="n"/>
      <c r="E204" s="10">
        <f>Precos!J204</f>
        <v/>
      </c>
      <c r="F204" s="12" t="n"/>
    </row>
    <row r="205">
      <c r="A205" s="9">
        <f>Precos!A205</f>
        <v/>
      </c>
      <c r="B205" s="10">
        <f>INDEX(Precos!$B205:$I205,MATCH(Premissas!$B$8,Precos!$B$3:$I$3,0))</f>
        <v/>
      </c>
      <c r="C205" s="10">
        <f>IF(AND(Premissas!$B$10&gt;1,A205&lt;Premissas!$B$9),B205*Premissas!$B$10,B205)</f>
        <v/>
      </c>
      <c r="D205" s="12" t="n"/>
      <c r="E205" s="10">
        <f>Precos!J205</f>
        <v/>
      </c>
      <c r="F205" s="12" t="n"/>
    </row>
    <row r="206">
      <c r="A206" s="9">
        <f>Precos!A206</f>
        <v/>
      </c>
      <c r="B206" s="10">
        <f>INDEX(Precos!$B206:$I206,MATCH(Premissas!$B$8,Precos!$B$3:$I$3,0))</f>
        <v/>
      </c>
      <c r="C206" s="10">
        <f>IF(AND(Premissas!$B$10&gt;1,A206&lt;Premissas!$B$9),B206*Premissas!$B$10,B206)</f>
        <v/>
      </c>
      <c r="D206" s="12" t="n"/>
      <c r="E206" s="10">
        <f>Precos!J206</f>
        <v/>
      </c>
      <c r="F206" s="12" t="n"/>
    </row>
    <row r="207">
      <c r="A207" s="9">
        <f>Precos!A207</f>
        <v/>
      </c>
      <c r="B207" s="10">
        <f>INDEX(Precos!$B207:$I207,MATCH(Premissas!$B$8,Precos!$B$3:$I$3,0))</f>
        <v/>
      </c>
      <c r="C207" s="10">
        <f>IF(AND(Premissas!$B$10&gt;1,A207&lt;Premissas!$B$9),B207*Premissas!$B$10,B207)</f>
        <v/>
      </c>
      <c r="D207" s="12" t="n"/>
      <c r="E207" s="10">
        <f>Precos!J207</f>
        <v/>
      </c>
      <c r="F207" s="12" t="n"/>
    </row>
    <row r="208">
      <c r="A208" s="9">
        <f>Precos!A208</f>
        <v/>
      </c>
      <c r="B208" s="10">
        <f>INDEX(Precos!$B208:$I208,MATCH(Premissas!$B$8,Precos!$B$3:$I$3,0))</f>
        <v/>
      </c>
      <c r="C208" s="10">
        <f>IF(AND(Premissas!$B$10&gt;1,A208&lt;Premissas!$B$9),B208*Premissas!$B$10,B208)</f>
        <v/>
      </c>
      <c r="D208" s="12" t="n"/>
      <c r="E208" s="10">
        <f>Precos!J208</f>
        <v/>
      </c>
      <c r="F208" s="12" t="n"/>
    </row>
    <row r="209">
      <c r="A209" s="9">
        <f>Precos!A209</f>
        <v/>
      </c>
      <c r="B209" s="10">
        <f>INDEX(Precos!$B209:$I209,MATCH(Premissas!$B$8,Precos!$B$3:$I$3,0))</f>
        <v/>
      </c>
      <c r="C209" s="10">
        <f>IF(AND(Premissas!$B$10&gt;1,A209&lt;Premissas!$B$9),B209*Premissas!$B$10,B209)</f>
        <v/>
      </c>
      <c r="D209" s="12" t="n"/>
      <c r="E209" s="10">
        <f>Precos!J209</f>
        <v/>
      </c>
      <c r="F209" s="12" t="n"/>
    </row>
    <row r="210">
      <c r="A210" s="9">
        <f>Precos!A210</f>
        <v/>
      </c>
      <c r="B210" s="10">
        <f>INDEX(Precos!$B210:$I210,MATCH(Premissas!$B$8,Precos!$B$3:$I$3,0))</f>
        <v/>
      </c>
      <c r="C210" s="10">
        <f>IF(AND(Premissas!$B$10&gt;1,A210&lt;Premissas!$B$9),B210*Premissas!$B$10,B210)</f>
        <v/>
      </c>
      <c r="D210" s="12" t="n"/>
      <c r="E210" s="10">
        <f>Precos!J210</f>
        <v/>
      </c>
      <c r="F210" s="12" t="n"/>
    </row>
    <row r="211">
      <c r="A211" s="9">
        <f>Precos!A211</f>
        <v/>
      </c>
      <c r="B211" s="10">
        <f>INDEX(Precos!$B211:$I211,MATCH(Premissas!$B$8,Precos!$B$3:$I$3,0))</f>
        <v/>
      </c>
      <c r="C211" s="10">
        <f>IF(AND(Premissas!$B$10&gt;1,A211&lt;Premissas!$B$9),B211*Premissas!$B$10,B211)</f>
        <v/>
      </c>
      <c r="D211" s="12" t="n"/>
      <c r="E211" s="10">
        <f>Precos!J211</f>
        <v/>
      </c>
      <c r="F211" s="12" t="n"/>
    </row>
    <row r="212">
      <c r="A212" s="9">
        <f>Precos!A212</f>
        <v/>
      </c>
      <c r="B212" s="10">
        <f>INDEX(Precos!$B212:$I212,MATCH(Premissas!$B$8,Precos!$B$3:$I$3,0))</f>
        <v/>
      </c>
      <c r="C212" s="10">
        <f>IF(AND(Premissas!$B$10&gt;1,A212&lt;Premissas!$B$9),B212*Premissas!$B$10,B212)</f>
        <v/>
      </c>
      <c r="D212" s="12" t="n"/>
      <c r="E212" s="10">
        <f>Precos!J212</f>
        <v/>
      </c>
      <c r="F212" s="12" t="n"/>
    </row>
    <row r="213">
      <c r="A213" s="9">
        <f>Precos!A213</f>
        <v/>
      </c>
      <c r="B213" s="10">
        <f>INDEX(Precos!$B213:$I213,MATCH(Premissas!$B$8,Precos!$B$3:$I$3,0))</f>
        <v/>
      </c>
      <c r="C213" s="10">
        <f>IF(AND(Premissas!$B$10&gt;1,A213&lt;Premissas!$B$9),B213*Premissas!$B$10,B213)</f>
        <v/>
      </c>
      <c r="D213" s="12" t="n"/>
      <c r="E213" s="10">
        <f>Precos!J213</f>
        <v/>
      </c>
      <c r="F213" s="12" t="n"/>
    </row>
    <row r="214">
      <c r="A214" s="9">
        <f>Precos!A214</f>
        <v/>
      </c>
      <c r="B214" s="10">
        <f>INDEX(Precos!$B214:$I214,MATCH(Premissas!$B$8,Precos!$B$3:$I$3,0))</f>
        <v/>
      </c>
      <c r="C214" s="10">
        <f>IF(AND(Premissas!$B$10&gt;1,A214&lt;Premissas!$B$9),B214*Premissas!$B$10,B214)</f>
        <v/>
      </c>
      <c r="D214" s="12" t="n"/>
      <c r="E214" s="10">
        <f>Precos!J214</f>
        <v/>
      </c>
      <c r="F214" s="12" t="n"/>
    </row>
    <row r="215">
      <c r="A215" s="9">
        <f>Precos!A215</f>
        <v/>
      </c>
      <c r="B215" s="10">
        <f>INDEX(Precos!$B215:$I215,MATCH(Premissas!$B$8,Precos!$B$3:$I$3,0))</f>
        <v/>
      </c>
      <c r="C215" s="10">
        <f>IF(AND(Premissas!$B$10&gt;1,A215&lt;Premissas!$B$9),B215*Premissas!$B$10,B215)</f>
        <v/>
      </c>
      <c r="D215" s="12" t="n"/>
      <c r="E215" s="10">
        <f>Precos!J215</f>
        <v/>
      </c>
      <c r="F215" s="12" t="n"/>
    </row>
    <row r="216">
      <c r="A216" s="9">
        <f>Precos!A216</f>
        <v/>
      </c>
      <c r="B216" s="10">
        <f>INDEX(Precos!$B216:$I216,MATCH(Premissas!$B$8,Precos!$B$3:$I$3,0))</f>
        <v/>
      </c>
      <c r="C216" s="10">
        <f>IF(AND(Premissas!$B$10&gt;1,A216&lt;Premissas!$B$9),B216*Premissas!$B$10,B216)</f>
        <v/>
      </c>
      <c r="D216" s="12" t="n"/>
      <c r="E216" s="10">
        <f>Precos!J216</f>
        <v/>
      </c>
      <c r="F216" s="12" t="n"/>
    </row>
    <row r="217">
      <c r="A217" s="9">
        <f>Precos!A217</f>
        <v/>
      </c>
      <c r="B217" s="10">
        <f>INDEX(Precos!$B217:$I217,MATCH(Premissas!$B$8,Precos!$B$3:$I$3,0))</f>
        <v/>
      </c>
      <c r="C217" s="10">
        <f>IF(AND(Premissas!$B$10&gt;1,A217&lt;Premissas!$B$9),B217*Premissas!$B$10,B217)</f>
        <v/>
      </c>
      <c r="D217" s="12" t="n"/>
      <c r="E217" s="10">
        <f>Precos!J217</f>
        <v/>
      </c>
      <c r="F217" s="12" t="n"/>
    </row>
    <row r="218">
      <c r="A218" s="9">
        <f>Precos!A218</f>
        <v/>
      </c>
      <c r="B218" s="10">
        <f>INDEX(Precos!$B218:$I218,MATCH(Premissas!$B$8,Precos!$B$3:$I$3,0))</f>
        <v/>
      </c>
      <c r="C218" s="10">
        <f>IF(AND(Premissas!$B$10&gt;1,A218&lt;Premissas!$B$9),B218*Premissas!$B$10,B218)</f>
        <v/>
      </c>
      <c r="D218" s="12" t="n"/>
      <c r="E218" s="10">
        <f>Precos!J218</f>
        <v/>
      </c>
      <c r="F218" s="12" t="n"/>
    </row>
    <row r="219">
      <c r="A219" s="9">
        <f>Precos!A219</f>
        <v/>
      </c>
      <c r="B219" s="10">
        <f>INDEX(Precos!$B219:$I219,MATCH(Premissas!$B$8,Precos!$B$3:$I$3,0))</f>
        <v/>
      </c>
      <c r="C219" s="10">
        <f>IF(AND(Premissas!$B$10&gt;1,A219&lt;Premissas!$B$9),B219*Premissas!$B$10,B219)</f>
        <v/>
      </c>
      <c r="D219" s="12" t="n"/>
      <c r="E219" s="10">
        <f>Precos!J219</f>
        <v/>
      </c>
      <c r="F219" s="12" t="n"/>
    </row>
    <row r="220">
      <c r="A220" s="9">
        <f>Precos!A220</f>
        <v/>
      </c>
      <c r="B220" s="10">
        <f>INDEX(Precos!$B220:$I220,MATCH(Premissas!$B$8,Precos!$B$3:$I$3,0))</f>
        <v/>
      </c>
      <c r="C220" s="10">
        <f>IF(AND(Premissas!$B$10&gt;1,A220&lt;Premissas!$B$9),B220*Premissas!$B$10,B220)</f>
        <v/>
      </c>
      <c r="D220" s="12" t="n"/>
      <c r="E220" s="10">
        <f>Precos!J220</f>
        <v/>
      </c>
      <c r="F220" s="12" t="n"/>
    </row>
    <row r="221">
      <c r="A221" s="9">
        <f>Precos!A221</f>
        <v/>
      </c>
      <c r="B221" s="10">
        <f>INDEX(Precos!$B221:$I221,MATCH(Premissas!$B$8,Precos!$B$3:$I$3,0))</f>
        <v/>
      </c>
      <c r="C221" s="10">
        <f>IF(AND(Premissas!$B$10&gt;1,A221&lt;Premissas!$B$9),B221*Premissas!$B$10,B221)</f>
        <v/>
      </c>
      <c r="D221" s="12" t="n"/>
      <c r="E221" s="10">
        <f>Precos!J221</f>
        <v/>
      </c>
      <c r="F221" s="12" t="n"/>
    </row>
    <row r="222">
      <c r="A222" s="9">
        <f>Precos!A222</f>
        <v/>
      </c>
      <c r="B222" s="10">
        <f>INDEX(Precos!$B222:$I222,MATCH(Premissas!$B$8,Precos!$B$3:$I$3,0))</f>
        <v/>
      </c>
      <c r="C222" s="10">
        <f>IF(AND(Premissas!$B$10&gt;1,A222&lt;Premissas!$B$9),B222*Premissas!$B$10,B222)</f>
        <v/>
      </c>
      <c r="D222" s="12" t="n"/>
      <c r="E222" s="10">
        <f>Precos!J222</f>
        <v/>
      </c>
      <c r="F222" s="12" t="n"/>
    </row>
    <row r="223">
      <c r="A223" s="9">
        <f>Precos!A223</f>
        <v/>
      </c>
      <c r="B223" s="10">
        <f>INDEX(Precos!$B223:$I223,MATCH(Premissas!$B$8,Precos!$B$3:$I$3,0))</f>
        <v/>
      </c>
      <c r="C223" s="10">
        <f>IF(AND(Premissas!$B$10&gt;1,A223&lt;Premissas!$B$9),B223*Premissas!$B$10,B223)</f>
        <v/>
      </c>
      <c r="D223" s="12" t="n"/>
      <c r="E223" s="10">
        <f>Precos!J223</f>
        <v/>
      </c>
      <c r="F223" s="12" t="n"/>
    </row>
    <row r="224">
      <c r="A224" s="9">
        <f>Precos!A224</f>
        <v/>
      </c>
      <c r="B224" s="10">
        <f>INDEX(Precos!$B224:$I224,MATCH(Premissas!$B$8,Precos!$B$3:$I$3,0))</f>
        <v/>
      </c>
      <c r="C224" s="10">
        <f>IF(AND(Premissas!$B$10&gt;1,A224&lt;Premissas!$B$9),B224*Premissas!$B$10,B224)</f>
        <v/>
      </c>
      <c r="D224" s="12" t="n"/>
      <c r="E224" s="10">
        <f>Precos!J224</f>
        <v/>
      </c>
      <c r="F224" s="12" t="n"/>
    </row>
    <row r="225">
      <c r="A225" s="9">
        <f>Precos!A225</f>
        <v/>
      </c>
      <c r="B225" s="10">
        <f>INDEX(Precos!$B225:$I225,MATCH(Premissas!$B$8,Precos!$B$3:$I$3,0))</f>
        <v/>
      </c>
      <c r="C225" s="10">
        <f>IF(AND(Premissas!$B$10&gt;1,A225&lt;Premissas!$B$9),B225*Premissas!$B$10,B225)</f>
        <v/>
      </c>
      <c r="D225" s="12" t="n"/>
      <c r="E225" s="10">
        <f>Precos!J225</f>
        <v/>
      </c>
      <c r="F225" s="12" t="n"/>
    </row>
    <row r="226">
      <c r="A226" s="9">
        <f>Precos!A226</f>
        <v/>
      </c>
      <c r="B226" s="10">
        <f>INDEX(Precos!$B226:$I226,MATCH(Premissas!$B$8,Precos!$B$3:$I$3,0))</f>
        <v/>
      </c>
      <c r="C226" s="10">
        <f>IF(AND(Premissas!$B$10&gt;1,A226&lt;Premissas!$B$9),B226*Premissas!$B$10,B226)</f>
        <v/>
      </c>
      <c r="D226" s="12" t="n"/>
      <c r="E226" s="10">
        <f>Precos!J226</f>
        <v/>
      </c>
      <c r="F226" s="12" t="n"/>
    </row>
    <row r="227">
      <c r="A227" s="9">
        <f>Precos!A227</f>
        <v/>
      </c>
      <c r="B227" s="10">
        <f>INDEX(Precos!$B227:$I227,MATCH(Premissas!$B$8,Precos!$B$3:$I$3,0))</f>
        <v/>
      </c>
      <c r="C227" s="10">
        <f>IF(AND(Premissas!$B$10&gt;1,A227&lt;Premissas!$B$9),B227*Premissas!$B$10,B227)</f>
        <v/>
      </c>
      <c r="D227" s="12" t="n"/>
      <c r="E227" s="10">
        <f>Precos!J227</f>
        <v/>
      </c>
      <c r="F227" s="12" t="n"/>
    </row>
    <row r="228">
      <c r="A228" s="9">
        <f>Precos!A228</f>
        <v/>
      </c>
      <c r="B228" s="10">
        <f>INDEX(Precos!$B228:$I228,MATCH(Premissas!$B$8,Precos!$B$3:$I$3,0))</f>
        <v/>
      </c>
      <c r="C228" s="10">
        <f>IF(AND(Premissas!$B$10&gt;1,A228&lt;Premissas!$B$9),B228*Premissas!$B$10,B228)</f>
        <v/>
      </c>
      <c r="D228" s="12" t="n"/>
      <c r="E228" s="10">
        <f>Precos!J228</f>
        <v/>
      </c>
      <c r="F228" s="12" t="n"/>
    </row>
    <row r="229">
      <c r="A229" s="9">
        <f>Precos!A229</f>
        <v/>
      </c>
      <c r="B229" s="10">
        <f>INDEX(Precos!$B229:$I229,MATCH(Premissas!$B$8,Precos!$B$3:$I$3,0))</f>
        <v/>
      </c>
      <c r="C229" s="10">
        <f>IF(AND(Premissas!$B$10&gt;1,A229&lt;Premissas!$B$9),B229*Premissas!$B$10,B229)</f>
        <v/>
      </c>
      <c r="D229" s="12" t="n"/>
      <c r="E229" s="10">
        <f>Precos!J229</f>
        <v/>
      </c>
      <c r="F229" s="12" t="n"/>
    </row>
    <row r="230">
      <c r="A230" s="9">
        <f>Precos!A230</f>
        <v/>
      </c>
      <c r="B230" s="10">
        <f>INDEX(Precos!$B230:$I230,MATCH(Premissas!$B$8,Precos!$B$3:$I$3,0))</f>
        <v/>
      </c>
      <c r="C230" s="10">
        <f>IF(AND(Premissas!$B$10&gt;1,A230&lt;Premissas!$B$9),B230*Premissas!$B$10,B230)</f>
        <v/>
      </c>
      <c r="D230" s="12" t="n"/>
      <c r="E230" s="10">
        <f>Precos!J230</f>
        <v/>
      </c>
      <c r="F230" s="12" t="n"/>
    </row>
    <row r="231">
      <c r="A231" s="9">
        <f>Precos!A231</f>
        <v/>
      </c>
      <c r="B231" s="10">
        <f>INDEX(Precos!$B231:$I231,MATCH(Premissas!$B$8,Precos!$B$3:$I$3,0))</f>
        <v/>
      </c>
      <c r="C231" s="10">
        <f>IF(AND(Premissas!$B$10&gt;1,A231&lt;Premissas!$B$9),B231*Premissas!$B$10,B231)</f>
        <v/>
      </c>
      <c r="D231" s="12" t="n"/>
      <c r="E231" s="10">
        <f>Precos!J231</f>
        <v/>
      </c>
      <c r="F231" s="12" t="n"/>
    </row>
    <row r="232">
      <c r="A232" s="9">
        <f>Precos!A232</f>
        <v/>
      </c>
      <c r="B232" s="10">
        <f>INDEX(Precos!$B232:$I232,MATCH(Premissas!$B$8,Precos!$B$3:$I$3,0))</f>
        <v/>
      </c>
      <c r="C232" s="10">
        <f>IF(AND(Premissas!$B$10&gt;1,A232&lt;Premissas!$B$9),B232*Premissas!$B$10,B232)</f>
        <v/>
      </c>
      <c r="D232" s="12" t="n"/>
      <c r="E232" s="10">
        <f>Precos!J232</f>
        <v/>
      </c>
      <c r="F232" s="12" t="n"/>
    </row>
    <row r="233">
      <c r="A233" s="9">
        <f>Precos!A233</f>
        <v/>
      </c>
      <c r="B233" s="10">
        <f>INDEX(Precos!$B233:$I233,MATCH(Premissas!$B$8,Precos!$B$3:$I$3,0))</f>
        <v/>
      </c>
      <c r="C233" s="10">
        <f>IF(AND(Premissas!$B$10&gt;1,A233&lt;Premissas!$B$9),B233*Premissas!$B$10,B233)</f>
        <v/>
      </c>
      <c r="D233" s="12" t="n"/>
      <c r="E233" s="10">
        <f>Precos!J233</f>
        <v/>
      </c>
      <c r="F233" s="12" t="n"/>
    </row>
    <row r="234">
      <c r="A234" s="9">
        <f>Precos!A234</f>
        <v/>
      </c>
      <c r="B234" s="10">
        <f>INDEX(Precos!$B234:$I234,MATCH(Premissas!$B$8,Precos!$B$3:$I$3,0))</f>
        <v/>
      </c>
      <c r="C234" s="10">
        <f>IF(AND(Premissas!$B$10&gt;1,A234&lt;Premissas!$B$9),B234*Premissas!$B$10,B234)</f>
        <v/>
      </c>
      <c r="D234" s="12" t="n"/>
      <c r="E234" s="10">
        <f>Precos!J234</f>
        <v/>
      </c>
      <c r="F234" s="12" t="n"/>
    </row>
    <row r="235">
      <c r="A235" s="9">
        <f>Precos!A235</f>
        <v/>
      </c>
      <c r="B235" s="10">
        <f>INDEX(Precos!$B235:$I235,MATCH(Premissas!$B$8,Precos!$B$3:$I$3,0))</f>
        <v/>
      </c>
      <c r="C235" s="10">
        <f>IF(AND(Premissas!$B$10&gt;1,A235&lt;Premissas!$B$9),B235*Premissas!$B$10,B235)</f>
        <v/>
      </c>
      <c r="D235" s="12" t="n"/>
      <c r="E235" s="10">
        <f>Precos!J235</f>
        <v/>
      </c>
      <c r="F235" s="12" t="n"/>
    </row>
    <row r="236">
      <c r="A236" s="9">
        <f>Precos!A236</f>
        <v/>
      </c>
      <c r="B236" s="10">
        <f>INDEX(Precos!$B236:$I236,MATCH(Premissas!$B$8,Precos!$B$3:$I$3,0))</f>
        <v/>
      </c>
      <c r="C236" s="10">
        <f>IF(AND(Premissas!$B$10&gt;1,A236&lt;Premissas!$B$9),B236*Premissas!$B$10,B236)</f>
        <v/>
      </c>
      <c r="D236" s="12" t="n"/>
      <c r="E236" s="10">
        <f>Precos!J236</f>
        <v/>
      </c>
      <c r="F236" s="12" t="n"/>
    </row>
    <row r="237">
      <c r="A237" s="9">
        <f>Precos!A237</f>
        <v/>
      </c>
      <c r="B237" s="10">
        <f>INDEX(Precos!$B237:$I237,MATCH(Premissas!$B$8,Precos!$B$3:$I$3,0))</f>
        <v/>
      </c>
      <c r="C237" s="10">
        <f>IF(AND(Premissas!$B$10&gt;1,A237&lt;Premissas!$B$9),B237*Premissas!$B$10,B237)</f>
        <v/>
      </c>
      <c r="D237" s="12" t="n"/>
      <c r="E237" s="10">
        <f>Precos!J237</f>
        <v/>
      </c>
      <c r="F237" s="12" t="n"/>
    </row>
    <row r="238">
      <c r="A238" s="9">
        <f>Precos!A238</f>
        <v/>
      </c>
      <c r="B238" s="10">
        <f>INDEX(Precos!$B238:$I238,MATCH(Premissas!$B$8,Precos!$B$3:$I$3,0))</f>
        <v/>
      </c>
      <c r="C238" s="10">
        <f>IF(AND(Premissas!$B$10&gt;1,A238&lt;Premissas!$B$9),B238*Premissas!$B$10,B238)</f>
        <v/>
      </c>
      <c r="D238" s="12" t="n"/>
      <c r="E238" s="10">
        <f>Precos!J238</f>
        <v/>
      </c>
      <c r="F238" s="12" t="n"/>
    </row>
    <row r="239">
      <c r="A239" s="9">
        <f>Precos!A239</f>
        <v/>
      </c>
      <c r="B239" s="10">
        <f>INDEX(Precos!$B239:$I239,MATCH(Premissas!$B$8,Precos!$B$3:$I$3,0))</f>
        <v/>
      </c>
      <c r="C239" s="10">
        <f>IF(AND(Premissas!$B$10&gt;1,A239&lt;Premissas!$B$9),B239*Premissas!$B$10,B239)</f>
        <v/>
      </c>
      <c r="D239" s="12" t="n"/>
      <c r="E239" s="10">
        <f>Precos!J239</f>
        <v/>
      </c>
      <c r="F239" s="12" t="n"/>
    </row>
    <row r="240">
      <c r="A240" s="9">
        <f>Precos!A240</f>
        <v/>
      </c>
      <c r="B240" s="10">
        <f>INDEX(Precos!$B240:$I240,MATCH(Premissas!$B$8,Precos!$B$3:$I$3,0))</f>
        <v/>
      </c>
      <c r="C240" s="10">
        <f>IF(AND(Premissas!$B$10&gt;1,A240&lt;Premissas!$B$9),B240*Premissas!$B$10,B240)</f>
        <v/>
      </c>
      <c r="D240" s="12" t="n"/>
      <c r="E240" s="10">
        <f>Precos!J240</f>
        <v/>
      </c>
      <c r="F240" s="12" t="n"/>
    </row>
    <row r="241">
      <c r="A241" s="9">
        <f>Precos!A241</f>
        <v/>
      </c>
      <c r="B241" s="10">
        <f>INDEX(Precos!$B241:$I241,MATCH(Premissas!$B$8,Precos!$B$3:$I$3,0))</f>
        <v/>
      </c>
      <c r="C241" s="10">
        <f>IF(AND(Premissas!$B$10&gt;1,A241&lt;Premissas!$B$9),B241*Premissas!$B$10,B241)</f>
        <v/>
      </c>
      <c r="D241" s="12" t="n"/>
      <c r="E241" s="10">
        <f>Precos!J241</f>
        <v/>
      </c>
      <c r="F241" s="12" t="n"/>
    </row>
    <row r="242">
      <c r="A242" s="9">
        <f>Precos!A242</f>
        <v/>
      </c>
      <c r="B242" s="10">
        <f>INDEX(Precos!$B242:$I242,MATCH(Premissas!$B$8,Precos!$B$3:$I$3,0))</f>
        <v/>
      </c>
      <c r="C242" s="10">
        <f>IF(AND(Premissas!$B$10&gt;1,A242&lt;Premissas!$B$9),B242*Premissas!$B$10,B242)</f>
        <v/>
      </c>
      <c r="D242" s="12" t="n"/>
      <c r="E242" s="10">
        <f>Precos!J242</f>
        <v/>
      </c>
      <c r="F242" s="12" t="n"/>
    </row>
    <row r="243">
      <c r="A243" s="9">
        <f>Precos!A243</f>
        <v/>
      </c>
      <c r="B243" s="10">
        <f>INDEX(Precos!$B243:$I243,MATCH(Premissas!$B$8,Precos!$B$3:$I$3,0))</f>
        <v/>
      </c>
      <c r="C243" s="10">
        <f>IF(AND(Premissas!$B$10&gt;1,A243&lt;Premissas!$B$9),B243*Premissas!$B$10,B243)</f>
        <v/>
      </c>
      <c r="D243" s="12" t="n"/>
      <c r="E243" s="10">
        <f>Precos!J243</f>
        <v/>
      </c>
      <c r="F243" s="12" t="n"/>
    </row>
    <row r="244">
      <c r="A244" s="9">
        <f>Precos!A244</f>
        <v/>
      </c>
      <c r="B244" s="10">
        <f>INDEX(Precos!$B244:$I244,MATCH(Premissas!$B$8,Precos!$B$3:$I$3,0))</f>
        <v/>
      </c>
      <c r="C244" s="10">
        <f>IF(AND(Premissas!$B$10&gt;1,A244&lt;Premissas!$B$9),B244*Premissas!$B$10,B244)</f>
        <v/>
      </c>
      <c r="D244" s="12" t="n"/>
      <c r="E244" s="10">
        <f>Precos!J244</f>
        <v/>
      </c>
      <c r="F244" s="12" t="n"/>
    </row>
    <row r="245">
      <c r="A245" s="9">
        <f>Precos!A245</f>
        <v/>
      </c>
      <c r="B245" s="10">
        <f>INDEX(Precos!$B245:$I245,MATCH(Premissas!$B$8,Precos!$B$3:$I$3,0))</f>
        <v/>
      </c>
      <c r="C245" s="10">
        <f>IF(AND(Premissas!$B$10&gt;1,A245&lt;Premissas!$B$9),B245*Premissas!$B$10,B245)</f>
        <v/>
      </c>
      <c r="D245" s="12" t="n"/>
      <c r="E245" s="10">
        <f>Precos!J245</f>
        <v/>
      </c>
      <c r="F245" s="12" t="n"/>
    </row>
    <row r="246">
      <c r="A246" s="9">
        <f>Precos!A246</f>
        <v/>
      </c>
      <c r="B246" s="10">
        <f>INDEX(Precos!$B246:$I246,MATCH(Premissas!$B$8,Precos!$B$3:$I$3,0))</f>
        <v/>
      </c>
      <c r="C246" s="10">
        <f>IF(AND(Premissas!$B$10&gt;1,A246&lt;Premissas!$B$9),B246*Premissas!$B$10,B246)</f>
        <v/>
      </c>
      <c r="D246" s="12" t="n"/>
      <c r="E246" s="10">
        <f>Precos!J246</f>
        <v/>
      </c>
      <c r="F246" s="12" t="n"/>
    </row>
    <row r="247">
      <c r="A247" s="9">
        <f>Precos!A247</f>
        <v/>
      </c>
      <c r="B247" s="10">
        <f>INDEX(Precos!$B247:$I247,MATCH(Premissas!$B$8,Precos!$B$3:$I$3,0))</f>
        <v/>
      </c>
      <c r="C247" s="10">
        <f>IF(AND(Premissas!$B$10&gt;1,A247&lt;Premissas!$B$9),B247*Premissas!$B$10,B247)</f>
        <v/>
      </c>
      <c r="D247" s="12" t="n"/>
      <c r="E247" s="10">
        <f>Precos!J247</f>
        <v/>
      </c>
      <c r="F247" s="12" t="n"/>
    </row>
    <row r="248">
      <c r="A248" s="9">
        <f>Precos!A248</f>
        <v/>
      </c>
      <c r="B248" s="10">
        <f>INDEX(Precos!$B248:$I248,MATCH(Premissas!$B$8,Precos!$B$3:$I$3,0))</f>
        <v/>
      </c>
      <c r="C248" s="10">
        <f>IF(AND(Premissas!$B$10&gt;1,A248&lt;Premissas!$B$9),B248*Premissas!$B$10,B248)</f>
        <v/>
      </c>
      <c r="D248" s="12" t="n"/>
      <c r="E248" s="10">
        <f>Precos!J248</f>
        <v/>
      </c>
      <c r="F248" s="12" t="n"/>
    </row>
    <row r="249">
      <c r="A249" s="9">
        <f>Precos!A249</f>
        <v/>
      </c>
      <c r="B249" s="10">
        <f>INDEX(Precos!$B249:$I249,MATCH(Premissas!$B$8,Precos!$B$3:$I$3,0))</f>
        <v/>
      </c>
      <c r="C249" s="10">
        <f>IF(AND(Premissas!$B$10&gt;1,A249&lt;Premissas!$B$9),B249*Premissas!$B$10,B249)</f>
        <v/>
      </c>
      <c r="D249" s="12" t="n"/>
      <c r="E249" s="10">
        <f>Precos!J249</f>
        <v/>
      </c>
      <c r="F249" s="12" t="n"/>
    </row>
    <row r="250">
      <c r="A250" s="9">
        <f>Precos!A250</f>
        <v/>
      </c>
      <c r="B250" s="10">
        <f>INDEX(Precos!$B250:$I250,MATCH(Premissas!$B$8,Precos!$B$3:$I$3,0))</f>
        <v/>
      </c>
      <c r="C250" s="10">
        <f>IF(AND(Premissas!$B$10&gt;1,A250&lt;Premissas!$B$9),B250*Premissas!$B$10,B250)</f>
        <v/>
      </c>
      <c r="D250" s="12" t="n"/>
      <c r="E250" s="10">
        <f>Precos!J250</f>
        <v/>
      </c>
      <c r="F250" s="12" t="n"/>
    </row>
    <row r="251">
      <c r="A251" s="9">
        <f>Precos!A251</f>
        <v/>
      </c>
      <c r="B251" s="10">
        <f>INDEX(Precos!$B251:$I251,MATCH(Premissas!$B$8,Precos!$B$3:$I$3,0))</f>
        <v/>
      </c>
      <c r="C251" s="10">
        <f>IF(AND(Premissas!$B$10&gt;1,A251&lt;Premissas!$B$9),B251*Premissas!$B$10,B251)</f>
        <v/>
      </c>
      <c r="D251" s="12" t="n"/>
      <c r="E251" s="10">
        <f>Precos!J251</f>
        <v/>
      </c>
      <c r="F251" s="12" t="n"/>
    </row>
    <row r="252">
      <c r="A252" s="9">
        <f>Precos!A252</f>
        <v/>
      </c>
      <c r="B252" s="10">
        <f>INDEX(Precos!$B252:$I252,MATCH(Premissas!$B$8,Precos!$B$3:$I$3,0))</f>
        <v/>
      </c>
      <c r="C252" s="10">
        <f>IF(AND(Premissas!$B$10&gt;1,A252&lt;Premissas!$B$9),B252*Premissas!$B$10,B252)</f>
        <v/>
      </c>
      <c r="D252" s="12" t="n"/>
      <c r="E252" s="10">
        <f>Precos!J252</f>
        <v/>
      </c>
      <c r="F252" s="12" t="n"/>
    </row>
    <row r="253">
      <c r="A253" s="9">
        <f>Precos!A253</f>
        <v/>
      </c>
      <c r="B253" s="10">
        <f>INDEX(Precos!$B253:$I253,MATCH(Premissas!$B$8,Precos!$B$3:$I$3,0))</f>
        <v/>
      </c>
      <c r="C253" s="10">
        <f>IF(AND(Premissas!$B$10&gt;1,A253&lt;Premissas!$B$9),B253*Premissas!$B$10,B253)</f>
        <v/>
      </c>
      <c r="D253" s="12" t="n"/>
      <c r="E253" s="10">
        <f>Precos!J253</f>
        <v/>
      </c>
      <c r="F253" s="12" t="n"/>
    </row>
    <row r="254">
      <c r="A254" s="9">
        <f>Precos!A254</f>
        <v/>
      </c>
      <c r="B254" s="10">
        <f>INDEX(Precos!$B254:$I254,MATCH(Premissas!$B$8,Precos!$B$3:$I$3,0))</f>
        <v/>
      </c>
      <c r="C254" s="10">
        <f>IF(AND(Premissas!$B$10&gt;1,A254&lt;Premissas!$B$9),B254*Premissas!$B$10,B254)</f>
        <v/>
      </c>
      <c r="D254" s="12" t="n"/>
      <c r="E254" s="10">
        <f>Precos!J254</f>
        <v/>
      </c>
      <c r="F254" s="12" t="n"/>
    </row>
    <row r="255">
      <c r="A255" s="9">
        <f>Precos!A255</f>
        <v/>
      </c>
      <c r="B255" s="10">
        <f>INDEX(Precos!$B255:$I255,MATCH(Premissas!$B$8,Precos!$B$3:$I$3,0))</f>
        <v/>
      </c>
      <c r="C255" s="10">
        <f>IF(AND(Premissas!$B$10&gt;1,A255&lt;Premissas!$B$9),B255*Premissas!$B$10,B255)</f>
        <v/>
      </c>
      <c r="D255" s="12" t="n"/>
      <c r="E255" s="10">
        <f>Precos!J255</f>
        <v/>
      </c>
      <c r="F255" s="12" t="n"/>
    </row>
    <row r="256">
      <c r="A256" s="9">
        <f>Precos!A256</f>
        <v/>
      </c>
      <c r="B256" s="10">
        <f>INDEX(Precos!$B256:$I256,MATCH(Premissas!$B$8,Precos!$B$3:$I$3,0))</f>
        <v/>
      </c>
      <c r="C256" s="10">
        <f>IF(AND(Premissas!$B$10&gt;1,A256&lt;Premissas!$B$9),B256*Premissas!$B$10,B256)</f>
        <v/>
      </c>
      <c r="D256" s="12" t="n"/>
      <c r="E256" s="10">
        <f>Precos!J256</f>
        <v/>
      </c>
      <c r="F256" s="12" t="n"/>
    </row>
    <row r="257">
      <c r="A257" s="9">
        <f>Precos!A257</f>
        <v/>
      </c>
      <c r="B257" s="10">
        <f>INDEX(Precos!$B257:$I257,MATCH(Premissas!$B$8,Precos!$B$3:$I$3,0))</f>
        <v/>
      </c>
      <c r="C257" s="10">
        <f>IF(AND(Premissas!$B$10&gt;1,A257&lt;Premissas!$B$9),B257*Premissas!$B$10,B257)</f>
        <v/>
      </c>
      <c r="D257" s="12" t="n"/>
      <c r="E257" s="10">
        <f>Precos!J257</f>
        <v/>
      </c>
      <c r="F257" s="12" t="n"/>
    </row>
    <row r="258">
      <c r="A258" s="9">
        <f>Precos!A258</f>
        <v/>
      </c>
      <c r="B258" s="10">
        <f>INDEX(Precos!$B258:$I258,MATCH(Premissas!$B$8,Precos!$B$3:$I$3,0))</f>
        <v/>
      </c>
      <c r="C258" s="10">
        <f>IF(AND(Premissas!$B$10&gt;1,A258&lt;Premissas!$B$9),B258*Premissas!$B$10,B258)</f>
        <v/>
      </c>
      <c r="D258" s="12" t="n"/>
      <c r="E258" s="10">
        <f>Precos!J258</f>
        <v/>
      </c>
      <c r="F258" s="12" t="n"/>
    </row>
    <row r="259">
      <c r="A259" s="9">
        <f>Precos!A259</f>
        <v/>
      </c>
      <c r="B259" s="10">
        <f>INDEX(Precos!$B259:$I259,MATCH(Premissas!$B$8,Precos!$B$3:$I$3,0))</f>
        <v/>
      </c>
      <c r="C259" s="10">
        <f>IF(AND(Premissas!$B$10&gt;1,A259&lt;Premissas!$B$9),B259*Premissas!$B$10,B259)</f>
        <v/>
      </c>
      <c r="D259" s="12" t="n"/>
      <c r="E259" s="10">
        <f>Precos!J259</f>
        <v/>
      </c>
      <c r="F259" s="12" t="n"/>
    </row>
    <row r="260">
      <c r="A260" s="9">
        <f>Precos!A260</f>
        <v/>
      </c>
      <c r="B260" s="10">
        <f>INDEX(Precos!$B260:$I260,MATCH(Premissas!$B$8,Precos!$B$3:$I$3,0))</f>
        <v/>
      </c>
      <c r="C260" s="10">
        <f>IF(AND(Premissas!$B$10&gt;1,A260&lt;Premissas!$B$9),B260*Premissas!$B$10,B260)</f>
        <v/>
      </c>
      <c r="D260" s="12" t="n"/>
      <c r="E260" s="10">
        <f>Precos!J260</f>
        <v/>
      </c>
      <c r="F260" s="12" t="n"/>
    </row>
    <row r="261">
      <c r="A261" s="9">
        <f>Precos!A261</f>
        <v/>
      </c>
      <c r="B261" s="10">
        <f>INDEX(Precos!$B261:$I261,MATCH(Premissas!$B$8,Precos!$B$3:$I$3,0))</f>
        <v/>
      </c>
      <c r="C261" s="10">
        <f>IF(AND(Premissas!$B$10&gt;1,A261&lt;Premissas!$B$9),B261*Premissas!$B$10,B261)</f>
        <v/>
      </c>
      <c r="D261" s="12" t="n"/>
      <c r="E261" s="10">
        <f>Precos!J261</f>
        <v/>
      </c>
      <c r="F261" s="12" t="n"/>
    </row>
    <row r="262">
      <c r="A262" s="9">
        <f>Precos!A262</f>
        <v/>
      </c>
      <c r="B262" s="10">
        <f>INDEX(Precos!$B262:$I262,MATCH(Premissas!$B$8,Precos!$B$3:$I$3,0))</f>
        <v/>
      </c>
      <c r="C262" s="10">
        <f>IF(AND(Premissas!$B$10&gt;1,A262&lt;Premissas!$B$9),B262*Premissas!$B$10,B262)</f>
        <v/>
      </c>
      <c r="D262" s="12" t="n"/>
      <c r="E262" s="10">
        <f>Precos!J262</f>
        <v/>
      </c>
      <c r="F262" s="12" t="n"/>
    </row>
    <row r="263">
      <c r="A263" s="9">
        <f>Precos!A263</f>
        <v/>
      </c>
      <c r="B263" s="10">
        <f>INDEX(Precos!$B263:$I263,MATCH(Premissas!$B$8,Precos!$B$3:$I$3,0))</f>
        <v/>
      </c>
      <c r="C263" s="10">
        <f>IF(AND(Premissas!$B$10&gt;1,A263&lt;Premissas!$B$9),B263*Premissas!$B$10,B263)</f>
        <v/>
      </c>
      <c r="D263" s="12" t="n"/>
      <c r="E263" s="10">
        <f>Precos!J263</f>
        <v/>
      </c>
      <c r="F263" s="12" t="n"/>
    </row>
    <row r="264">
      <c r="A264" s="9">
        <f>Precos!A264</f>
        <v/>
      </c>
      <c r="B264" s="10">
        <f>INDEX(Precos!$B264:$I264,MATCH(Premissas!$B$8,Precos!$B$3:$I$3,0))</f>
        <v/>
      </c>
      <c r="C264" s="10">
        <f>IF(AND(Premissas!$B$10&gt;1,A264&lt;Premissas!$B$9),B264*Premissas!$B$10,B264)</f>
        <v/>
      </c>
      <c r="D264" s="12" t="n"/>
      <c r="E264" s="10">
        <f>Precos!J264</f>
        <v/>
      </c>
      <c r="F264" s="12" t="n"/>
    </row>
    <row r="265">
      <c r="A265" s="9">
        <f>Precos!A265</f>
        <v/>
      </c>
      <c r="B265" s="10">
        <f>INDEX(Precos!$B265:$I265,MATCH(Premissas!$B$8,Precos!$B$3:$I$3,0))</f>
        <v/>
      </c>
      <c r="C265" s="10">
        <f>IF(AND(Premissas!$B$10&gt;1,A265&lt;Premissas!$B$9),B265*Premissas!$B$10,B265)</f>
        <v/>
      </c>
      <c r="D265" s="12" t="n"/>
      <c r="E265" s="10">
        <f>Precos!J265</f>
        <v/>
      </c>
      <c r="F265" s="12" t="n"/>
    </row>
    <row r="266">
      <c r="A266" s="9">
        <f>Precos!A266</f>
        <v/>
      </c>
      <c r="B266" s="10">
        <f>INDEX(Precos!$B266:$I266,MATCH(Premissas!$B$8,Precos!$B$3:$I$3,0))</f>
        <v/>
      </c>
      <c r="C266" s="10">
        <f>IF(AND(Premissas!$B$10&gt;1,A266&lt;Premissas!$B$9),B266*Premissas!$B$10,B266)</f>
        <v/>
      </c>
      <c r="D266" s="12" t="n"/>
      <c r="E266" s="10">
        <f>Precos!J266</f>
        <v/>
      </c>
      <c r="F266" s="12" t="n"/>
    </row>
    <row r="267">
      <c r="A267" s="9">
        <f>Precos!A267</f>
        <v/>
      </c>
      <c r="B267" s="10">
        <f>INDEX(Precos!$B267:$I267,MATCH(Premissas!$B$8,Precos!$B$3:$I$3,0))</f>
        <v/>
      </c>
      <c r="C267" s="10">
        <f>IF(AND(Premissas!$B$10&gt;1,A267&lt;Premissas!$B$9),B267*Premissas!$B$10,B267)</f>
        <v/>
      </c>
      <c r="D267" s="12" t="n"/>
      <c r="E267" s="10">
        <f>Precos!J267</f>
        <v/>
      </c>
      <c r="F267" s="12" t="n"/>
    </row>
    <row r="268">
      <c r="A268" s="9">
        <f>Precos!A268</f>
        <v/>
      </c>
      <c r="B268" s="10">
        <f>INDEX(Precos!$B268:$I268,MATCH(Premissas!$B$8,Precos!$B$3:$I$3,0))</f>
        <v/>
      </c>
      <c r="C268" s="10">
        <f>IF(AND(Premissas!$B$10&gt;1,A268&lt;Premissas!$B$9),B268*Premissas!$B$10,B268)</f>
        <v/>
      </c>
      <c r="D268" s="12" t="n"/>
      <c r="E268" s="10">
        <f>Precos!J268</f>
        <v/>
      </c>
      <c r="F268" s="12" t="n"/>
    </row>
    <row r="269">
      <c r="A269" s="9">
        <f>Precos!A269</f>
        <v/>
      </c>
      <c r="B269" s="10">
        <f>INDEX(Precos!$B269:$I269,MATCH(Premissas!$B$8,Precos!$B$3:$I$3,0))</f>
        <v/>
      </c>
      <c r="C269" s="10">
        <f>IF(AND(Premissas!$B$10&gt;1,A269&lt;Premissas!$B$9),B269*Premissas!$B$10,B269)</f>
        <v/>
      </c>
      <c r="D269" s="12" t="n"/>
      <c r="E269" s="10">
        <f>Precos!J269</f>
        <v/>
      </c>
      <c r="F269" s="12" t="n"/>
    </row>
    <row r="270">
      <c r="A270" s="9">
        <f>Precos!A270</f>
        <v/>
      </c>
      <c r="B270" s="10">
        <f>INDEX(Precos!$B270:$I270,MATCH(Premissas!$B$8,Precos!$B$3:$I$3,0))</f>
        <v/>
      </c>
      <c r="C270" s="10">
        <f>IF(AND(Premissas!$B$10&gt;1,A270&lt;Premissas!$B$9),B270*Premissas!$B$10,B270)</f>
        <v/>
      </c>
      <c r="D270" s="12" t="n"/>
      <c r="E270" s="10">
        <f>Precos!J270</f>
        <v/>
      </c>
      <c r="F270" s="12" t="n"/>
    </row>
    <row r="271">
      <c r="A271" s="9">
        <f>Precos!A271</f>
        <v/>
      </c>
      <c r="B271" s="10">
        <f>INDEX(Precos!$B271:$I271,MATCH(Premissas!$B$8,Precos!$B$3:$I$3,0))</f>
        <v/>
      </c>
      <c r="C271" s="10">
        <f>IF(AND(Premissas!$B$10&gt;1,A271&lt;Premissas!$B$9),B271*Premissas!$B$10,B271)</f>
        <v/>
      </c>
      <c r="D271" s="12" t="n"/>
      <c r="E271" s="10">
        <f>Precos!J271</f>
        <v/>
      </c>
      <c r="F271" s="12" t="n"/>
    </row>
    <row r="272">
      <c r="A272" s="9">
        <f>Precos!A272</f>
        <v/>
      </c>
      <c r="B272" s="10">
        <f>INDEX(Precos!$B272:$I272,MATCH(Premissas!$B$8,Precos!$B$3:$I$3,0))</f>
        <v/>
      </c>
      <c r="C272" s="10">
        <f>IF(AND(Premissas!$B$10&gt;1,A272&lt;Premissas!$B$9),B272*Premissas!$B$10,B272)</f>
        <v/>
      </c>
      <c r="D272" s="12" t="n"/>
      <c r="E272" s="10">
        <f>Precos!J272</f>
        <v/>
      </c>
      <c r="F272" s="12" t="n"/>
    </row>
    <row r="273">
      <c r="A273" s="9">
        <f>Precos!A273</f>
        <v/>
      </c>
      <c r="B273" s="10">
        <f>INDEX(Precos!$B273:$I273,MATCH(Premissas!$B$8,Precos!$B$3:$I$3,0))</f>
        <v/>
      </c>
      <c r="C273" s="10">
        <f>IF(AND(Premissas!$B$10&gt;1,A273&lt;Premissas!$B$9),B273*Premissas!$B$10,B273)</f>
        <v/>
      </c>
      <c r="D273" s="12" t="n"/>
      <c r="E273" s="10">
        <f>Precos!J273</f>
        <v/>
      </c>
      <c r="F273" s="12" t="n"/>
    </row>
    <row r="274">
      <c r="A274" s="9">
        <f>Precos!A274</f>
        <v/>
      </c>
      <c r="B274" s="10">
        <f>INDEX(Precos!$B274:$I274,MATCH(Premissas!$B$8,Precos!$B$3:$I$3,0))</f>
        <v/>
      </c>
      <c r="C274" s="10">
        <f>IF(AND(Premissas!$B$10&gt;1,A274&lt;Premissas!$B$9),B274*Premissas!$B$10,B274)</f>
        <v/>
      </c>
      <c r="D274" s="12" t="n"/>
      <c r="E274" s="10">
        <f>Precos!J274</f>
        <v/>
      </c>
      <c r="F274" s="12" t="n"/>
    </row>
    <row r="275">
      <c r="A275" s="9">
        <f>Precos!A275</f>
        <v/>
      </c>
      <c r="B275" s="10">
        <f>INDEX(Precos!$B275:$I275,MATCH(Premissas!$B$8,Precos!$B$3:$I$3,0))</f>
        <v/>
      </c>
      <c r="C275" s="10">
        <f>IF(AND(Premissas!$B$10&gt;1,A275&lt;Premissas!$B$9),B275*Premissas!$B$10,B275)</f>
        <v/>
      </c>
      <c r="D275" s="12" t="n"/>
      <c r="E275" s="10">
        <f>Precos!J275</f>
        <v/>
      </c>
      <c r="F275" s="12" t="n"/>
    </row>
    <row r="276">
      <c r="A276" s="9">
        <f>Precos!A276</f>
        <v/>
      </c>
      <c r="B276" s="10">
        <f>INDEX(Precos!$B276:$I276,MATCH(Premissas!$B$8,Precos!$B$3:$I$3,0))</f>
        <v/>
      </c>
      <c r="C276" s="10">
        <f>IF(AND(Premissas!$B$10&gt;1,A276&lt;Premissas!$B$9),B276*Premissas!$B$10,B276)</f>
        <v/>
      </c>
      <c r="D276" s="12" t="n"/>
      <c r="E276" s="10">
        <f>Precos!J276</f>
        <v/>
      </c>
      <c r="F276" s="12" t="n"/>
    </row>
    <row r="277">
      <c r="A277" s="9">
        <f>Precos!A277</f>
        <v/>
      </c>
      <c r="B277" s="10">
        <f>INDEX(Precos!$B277:$I277,MATCH(Premissas!$B$8,Precos!$B$3:$I$3,0))</f>
        <v/>
      </c>
      <c r="C277" s="10">
        <f>IF(AND(Premissas!$B$10&gt;1,A277&lt;Premissas!$B$9),B277*Premissas!$B$10,B277)</f>
        <v/>
      </c>
      <c r="D277" s="12" t="n"/>
      <c r="E277" s="10">
        <f>Precos!J277</f>
        <v/>
      </c>
      <c r="F277" s="12" t="n"/>
    </row>
    <row r="278">
      <c r="A278" s="9">
        <f>Precos!A278</f>
        <v/>
      </c>
      <c r="B278" s="10">
        <f>INDEX(Precos!$B278:$I278,MATCH(Premissas!$B$8,Precos!$B$3:$I$3,0))</f>
        <v/>
      </c>
      <c r="C278" s="10">
        <f>IF(AND(Premissas!$B$10&gt;1,A278&lt;Premissas!$B$9),B278*Premissas!$B$10,B278)</f>
        <v/>
      </c>
      <c r="D278" s="12" t="n"/>
      <c r="E278" s="10">
        <f>Precos!J278</f>
        <v/>
      </c>
      <c r="F278" s="12" t="n"/>
    </row>
    <row r="279">
      <c r="A279" s="9">
        <f>Precos!A279</f>
        <v/>
      </c>
      <c r="B279" s="10">
        <f>INDEX(Precos!$B279:$I279,MATCH(Premissas!$B$8,Precos!$B$3:$I$3,0))</f>
        <v/>
      </c>
      <c r="C279" s="10">
        <f>IF(AND(Premissas!$B$10&gt;1,A279&lt;Premissas!$B$9),B279*Premissas!$B$10,B279)</f>
        <v/>
      </c>
      <c r="D279" s="12" t="n"/>
      <c r="E279" s="10">
        <f>Precos!J279</f>
        <v/>
      </c>
      <c r="F279" s="12" t="n"/>
    </row>
    <row r="280">
      <c r="A280" s="9">
        <f>Precos!A280</f>
        <v/>
      </c>
      <c r="B280" s="10">
        <f>INDEX(Precos!$B280:$I280,MATCH(Premissas!$B$8,Precos!$B$3:$I$3,0))</f>
        <v/>
      </c>
      <c r="C280" s="10">
        <f>IF(AND(Premissas!$B$10&gt;1,A280&lt;Premissas!$B$9),B280*Premissas!$B$10,B280)</f>
        <v/>
      </c>
      <c r="D280" s="12" t="n"/>
      <c r="E280" s="10">
        <f>Precos!J280</f>
        <v/>
      </c>
      <c r="F280" s="12" t="n"/>
    </row>
    <row r="281">
      <c r="A281" s="9">
        <f>Precos!A281</f>
        <v/>
      </c>
      <c r="B281" s="10">
        <f>INDEX(Precos!$B281:$I281,MATCH(Premissas!$B$8,Precos!$B$3:$I$3,0))</f>
        <v/>
      </c>
      <c r="C281" s="10">
        <f>IF(AND(Premissas!$B$10&gt;1,A281&lt;Premissas!$B$9),B281*Premissas!$B$10,B281)</f>
        <v/>
      </c>
      <c r="D281" s="12" t="n"/>
      <c r="E281" s="10">
        <f>Precos!J281</f>
        <v/>
      </c>
      <c r="F281" s="12" t="n"/>
    </row>
    <row r="282">
      <c r="A282" s="9">
        <f>Precos!A282</f>
        <v/>
      </c>
      <c r="B282" s="10">
        <f>INDEX(Precos!$B282:$I282,MATCH(Premissas!$B$8,Precos!$B$3:$I$3,0))</f>
        <v/>
      </c>
      <c r="C282" s="10">
        <f>IF(AND(Premissas!$B$10&gt;1,A282&lt;Premissas!$B$9),B282*Premissas!$B$10,B282)</f>
        <v/>
      </c>
      <c r="D282" s="12" t="n"/>
      <c r="E282" s="10">
        <f>Precos!J282</f>
        <v/>
      </c>
      <c r="F282" s="12" t="n"/>
    </row>
    <row r="283">
      <c r="A283" s="9">
        <f>Precos!A283</f>
        <v/>
      </c>
      <c r="B283" s="10">
        <f>INDEX(Precos!$B283:$I283,MATCH(Premissas!$B$8,Precos!$B$3:$I$3,0))</f>
        <v/>
      </c>
      <c r="C283" s="10">
        <f>IF(AND(Premissas!$B$10&gt;1,A283&lt;Premissas!$B$9),B283*Premissas!$B$10,B283)</f>
        <v/>
      </c>
      <c r="D283" s="12" t="n"/>
      <c r="E283" s="10">
        <f>Precos!J283</f>
        <v/>
      </c>
      <c r="F283" s="12" t="n"/>
    </row>
    <row r="284">
      <c r="A284" s="9">
        <f>Precos!A284</f>
        <v/>
      </c>
      <c r="B284" s="10">
        <f>INDEX(Precos!$B284:$I284,MATCH(Premissas!$B$8,Precos!$B$3:$I$3,0))</f>
        <v/>
      </c>
      <c r="C284" s="10">
        <f>IF(AND(Premissas!$B$10&gt;1,A284&lt;Premissas!$B$9),B284*Premissas!$B$10,B284)</f>
        <v/>
      </c>
      <c r="D284" s="12" t="n"/>
      <c r="E284" s="10">
        <f>Precos!J284</f>
        <v/>
      </c>
      <c r="F284" s="12" t="n"/>
    </row>
    <row r="285">
      <c r="A285" s="9">
        <f>Precos!A285</f>
        <v/>
      </c>
      <c r="B285" s="10">
        <f>INDEX(Precos!$B285:$I285,MATCH(Premissas!$B$8,Precos!$B$3:$I$3,0))</f>
        <v/>
      </c>
      <c r="C285" s="10">
        <f>IF(AND(Premissas!$B$10&gt;1,A285&lt;Premissas!$B$9),B285*Premissas!$B$10,B285)</f>
        <v/>
      </c>
      <c r="D285" s="12" t="n"/>
      <c r="E285" s="10">
        <f>Precos!J285</f>
        <v/>
      </c>
      <c r="F285" s="12" t="n"/>
    </row>
    <row r="286">
      <c r="A286" s="9">
        <f>Precos!A286</f>
        <v/>
      </c>
      <c r="B286" s="10">
        <f>INDEX(Precos!$B286:$I286,MATCH(Premissas!$B$8,Precos!$B$3:$I$3,0))</f>
        <v/>
      </c>
      <c r="C286" s="10">
        <f>IF(AND(Premissas!$B$10&gt;1,A286&lt;Premissas!$B$9),B286*Premissas!$B$10,B286)</f>
        <v/>
      </c>
      <c r="D286" s="12" t="n"/>
      <c r="E286" s="10">
        <f>Precos!J286</f>
        <v/>
      </c>
      <c r="F286" s="12" t="n"/>
    </row>
    <row r="287">
      <c r="A287" s="9">
        <f>Precos!A287</f>
        <v/>
      </c>
      <c r="B287" s="10">
        <f>INDEX(Precos!$B287:$I287,MATCH(Premissas!$B$8,Precos!$B$3:$I$3,0))</f>
        <v/>
      </c>
      <c r="C287" s="10">
        <f>IF(AND(Premissas!$B$10&gt;1,A287&lt;Premissas!$B$9),B287*Premissas!$B$10,B287)</f>
        <v/>
      </c>
      <c r="D287" s="12" t="n"/>
      <c r="E287" s="10">
        <f>Precos!J287</f>
        <v/>
      </c>
      <c r="F287" s="12" t="n"/>
    </row>
    <row r="288">
      <c r="A288" s="9">
        <f>Precos!A288</f>
        <v/>
      </c>
      <c r="B288" s="10">
        <f>INDEX(Precos!$B288:$I288,MATCH(Premissas!$B$8,Precos!$B$3:$I$3,0))</f>
        <v/>
      </c>
      <c r="C288" s="10">
        <f>IF(AND(Premissas!$B$10&gt;1,A288&lt;Premissas!$B$9),B288*Premissas!$B$10,B288)</f>
        <v/>
      </c>
      <c r="D288" s="12" t="n"/>
      <c r="E288" s="10">
        <f>Precos!J288</f>
        <v/>
      </c>
      <c r="F288" s="12" t="n"/>
    </row>
    <row r="289">
      <c r="A289" s="9">
        <f>Precos!A289</f>
        <v/>
      </c>
      <c r="B289" s="10">
        <f>INDEX(Precos!$B289:$I289,MATCH(Premissas!$B$8,Precos!$B$3:$I$3,0))</f>
        <v/>
      </c>
      <c r="C289" s="10">
        <f>IF(AND(Premissas!$B$10&gt;1,A289&lt;Premissas!$B$9),B289*Premissas!$B$10,B289)</f>
        <v/>
      </c>
      <c r="D289" s="12" t="n"/>
      <c r="E289" s="10">
        <f>Precos!J289</f>
        <v/>
      </c>
      <c r="F289" s="12" t="n"/>
    </row>
    <row r="290">
      <c r="A290" s="9">
        <f>Precos!A290</f>
        <v/>
      </c>
      <c r="B290" s="10">
        <f>INDEX(Precos!$B290:$I290,MATCH(Premissas!$B$8,Precos!$B$3:$I$3,0))</f>
        <v/>
      </c>
      <c r="C290" s="10">
        <f>IF(AND(Premissas!$B$10&gt;1,A290&lt;Premissas!$B$9),B290*Premissas!$B$10,B290)</f>
        <v/>
      </c>
      <c r="D290" s="12" t="n"/>
      <c r="E290" s="10">
        <f>Precos!J290</f>
        <v/>
      </c>
      <c r="F290" s="12" t="n"/>
    </row>
    <row r="291">
      <c r="A291" s="9">
        <f>Precos!A291</f>
        <v/>
      </c>
      <c r="B291" s="10">
        <f>INDEX(Precos!$B291:$I291,MATCH(Premissas!$B$8,Precos!$B$3:$I$3,0))</f>
        <v/>
      </c>
      <c r="C291" s="10">
        <f>IF(AND(Premissas!$B$10&gt;1,A291&lt;Premissas!$B$9),B291*Premissas!$B$10,B291)</f>
        <v/>
      </c>
      <c r="D291" s="12" t="n"/>
      <c r="E291" s="10">
        <f>Precos!J291</f>
        <v/>
      </c>
      <c r="F291" s="12" t="n"/>
    </row>
    <row r="292">
      <c r="A292" s="9">
        <f>Precos!A292</f>
        <v/>
      </c>
      <c r="B292" s="10">
        <f>INDEX(Precos!$B292:$I292,MATCH(Premissas!$B$8,Precos!$B$3:$I$3,0))</f>
        <v/>
      </c>
      <c r="C292" s="10">
        <f>IF(AND(Premissas!$B$10&gt;1,A292&lt;Premissas!$B$9),B292*Premissas!$B$10,B292)</f>
        <v/>
      </c>
      <c r="D292" s="12" t="n"/>
      <c r="E292" s="10">
        <f>Precos!J292</f>
        <v/>
      </c>
      <c r="F292" s="12" t="n"/>
    </row>
    <row r="293">
      <c r="A293" s="9">
        <f>Precos!A293</f>
        <v/>
      </c>
      <c r="B293" s="10">
        <f>INDEX(Precos!$B293:$I293,MATCH(Premissas!$B$8,Precos!$B$3:$I$3,0))</f>
        <v/>
      </c>
      <c r="C293" s="10">
        <f>IF(AND(Premissas!$B$10&gt;1,A293&lt;Premissas!$B$9),B293*Premissas!$B$10,B293)</f>
        <v/>
      </c>
      <c r="D293" s="12" t="n"/>
      <c r="E293" s="10">
        <f>Precos!J293</f>
        <v/>
      </c>
      <c r="F293" s="12" t="n"/>
    </row>
    <row r="294">
      <c r="A294" s="9">
        <f>Precos!A294</f>
        <v/>
      </c>
      <c r="B294" s="10">
        <f>INDEX(Precos!$B294:$I294,MATCH(Premissas!$B$8,Precos!$B$3:$I$3,0))</f>
        <v/>
      </c>
      <c r="C294" s="10">
        <f>IF(AND(Premissas!$B$10&gt;1,A294&lt;Premissas!$B$9),B294*Premissas!$B$10,B294)</f>
        <v/>
      </c>
      <c r="D294" s="12" t="n"/>
      <c r="E294" s="10">
        <f>Precos!J294</f>
        <v/>
      </c>
      <c r="F294" s="12" t="n"/>
    </row>
    <row r="295">
      <c r="A295" s="9">
        <f>Precos!A295</f>
        <v/>
      </c>
      <c r="B295" s="10">
        <f>INDEX(Precos!$B295:$I295,MATCH(Premissas!$B$8,Precos!$B$3:$I$3,0))</f>
        <v/>
      </c>
      <c r="C295" s="10">
        <f>IF(AND(Premissas!$B$10&gt;1,A295&lt;Premissas!$B$9),B295*Premissas!$B$10,B295)</f>
        <v/>
      </c>
      <c r="D295" s="12" t="n"/>
      <c r="E295" s="10">
        <f>Precos!J295</f>
        <v/>
      </c>
      <c r="F295" s="12" t="n"/>
    </row>
    <row r="296">
      <c r="A296" s="9">
        <f>Precos!A296</f>
        <v/>
      </c>
      <c r="B296" s="10">
        <f>INDEX(Precos!$B296:$I296,MATCH(Premissas!$B$8,Precos!$B$3:$I$3,0))</f>
        <v/>
      </c>
      <c r="C296" s="10">
        <f>IF(AND(Premissas!$B$10&gt;1,A296&lt;Premissas!$B$9),B296*Premissas!$B$10,B296)</f>
        <v/>
      </c>
      <c r="D296" s="12" t="n"/>
      <c r="E296" s="10">
        <f>Precos!J296</f>
        <v/>
      </c>
      <c r="F296" s="12" t="n"/>
    </row>
    <row r="297">
      <c r="A297" s="9">
        <f>Precos!A297</f>
        <v/>
      </c>
      <c r="B297" s="10">
        <f>INDEX(Precos!$B297:$I297,MATCH(Premissas!$B$8,Precos!$B$3:$I$3,0))</f>
        <v/>
      </c>
      <c r="C297" s="10">
        <f>IF(AND(Premissas!$B$10&gt;1,A297&lt;Premissas!$B$9),B297*Premissas!$B$10,B297)</f>
        <v/>
      </c>
      <c r="D297" s="12" t="n"/>
      <c r="E297" s="10">
        <f>Precos!J297</f>
        <v/>
      </c>
      <c r="F297" s="12" t="n"/>
    </row>
    <row r="298">
      <c r="A298" s="9">
        <f>Precos!A298</f>
        <v/>
      </c>
      <c r="B298" s="10">
        <f>INDEX(Precos!$B298:$I298,MATCH(Premissas!$B$8,Precos!$B$3:$I$3,0))</f>
        <v/>
      </c>
      <c r="C298" s="10">
        <f>IF(AND(Premissas!$B$10&gt;1,A298&lt;Premissas!$B$9),B298*Premissas!$B$10,B298)</f>
        <v/>
      </c>
      <c r="D298" s="12" t="n"/>
      <c r="E298" s="10">
        <f>Precos!J298</f>
        <v/>
      </c>
      <c r="F298" s="12" t="n"/>
    </row>
    <row r="299">
      <c r="A299" s="9">
        <f>Precos!A299</f>
        <v/>
      </c>
      <c r="B299" s="10">
        <f>INDEX(Precos!$B299:$I299,MATCH(Premissas!$B$8,Precos!$B$3:$I$3,0))</f>
        <v/>
      </c>
      <c r="C299" s="10">
        <f>IF(AND(Premissas!$B$10&gt;1,A299&lt;Premissas!$B$9),B299*Premissas!$B$10,B299)</f>
        <v/>
      </c>
      <c r="D299" s="12" t="n"/>
      <c r="E299" s="10">
        <f>Precos!J299</f>
        <v/>
      </c>
      <c r="F299" s="12" t="n"/>
    </row>
    <row r="300">
      <c r="A300" s="9">
        <f>Precos!A300</f>
        <v/>
      </c>
      <c r="B300" s="10">
        <f>INDEX(Precos!$B300:$I300,MATCH(Premissas!$B$8,Precos!$B$3:$I$3,0))</f>
        <v/>
      </c>
      <c r="C300" s="10">
        <f>IF(AND(Premissas!$B$10&gt;1,A300&lt;Premissas!$B$9),B300*Premissas!$B$10,B300)</f>
        <v/>
      </c>
      <c r="D300" s="12" t="n"/>
      <c r="E300" s="10">
        <f>Precos!J300</f>
        <v/>
      </c>
      <c r="F300" s="12" t="n"/>
    </row>
    <row r="301">
      <c r="A301" s="9">
        <f>Precos!A301</f>
        <v/>
      </c>
      <c r="B301" s="10">
        <f>INDEX(Precos!$B301:$I301,MATCH(Premissas!$B$8,Precos!$B$3:$I$3,0))</f>
        <v/>
      </c>
      <c r="C301" s="10">
        <f>IF(AND(Premissas!$B$10&gt;1,A301&lt;Premissas!$B$9),B301*Premissas!$B$10,B301)</f>
        <v/>
      </c>
      <c r="D301" s="12" t="n"/>
      <c r="E301" s="10">
        <f>Precos!J301</f>
        <v/>
      </c>
      <c r="F301" s="12" t="n"/>
    </row>
    <row r="302">
      <c r="A302" s="9">
        <f>Precos!A302</f>
        <v/>
      </c>
      <c r="B302" s="10">
        <f>INDEX(Precos!$B302:$I302,MATCH(Premissas!$B$8,Precos!$B$3:$I$3,0))</f>
        <v/>
      </c>
      <c r="C302" s="10">
        <f>IF(AND(Premissas!$B$10&gt;1,A302&lt;Premissas!$B$9),B302*Premissas!$B$10,B302)</f>
        <v/>
      </c>
      <c r="D302" s="12" t="n"/>
      <c r="E302" s="10">
        <f>Precos!J302</f>
        <v/>
      </c>
      <c r="F302" s="12" t="n"/>
    </row>
    <row r="303">
      <c r="A303" s="9">
        <f>Precos!A303</f>
        <v/>
      </c>
      <c r="B303" s="10">
        <f>INDEX(Precos!$B303:$I303,MATCH(Premissas!$B$8,Precos!$B$3:$I$3,0))</f>
        <v/>
      </c>
      <c r="C303" s="10">
        <f>IF(AND(Premissas!$B$10&gt;1,A303&lt;Premissas!$B$9),B303*Premissas!$B$10,B303)</f>
        <v/>
      </c>
      <c r="D303" s="12" t="n"/>
      <c r="E303" s="10">
        <f>Precos!J303</f>
        <v/>
      </c>
      <c r="F303" s="12" t="n"/>
    </row>
    <row r="304">
      <c r="A304" s="9">
        <f>Precos!A304</f>
        <v/>
      </c>
      <c r="B304" s="10">
        <f>INDEX(Precos!$B304:$I304,MATCH(Premissas!$B$8,Precos!$B$3:$I$3,0))</f>
        <v/>
      </c>
      <c r="C304" s="10">
        <f>IF(AND(Premissas!$B$10&gt;1,A304&lt;Premissas!$B$9),B304*Premissas!$B$10,B304)</f>
        <v/>
      </c>
      <c r="D304" s="12" t="n"/>
      <c r="E304" s="10">
        <f>Precos!J304</f>
        <v/>
      </c>
      <c r="F304" s="12" t="n"/>
    </row>
    <row r="305">
      <c r="A305" s="9">
        <f>Precos!A305</f>
        <v/>
      </c>
      <c r="B305" s="10">
        <f>INDEX(Precos!$B305:$I305,MATCH(Premissas!$B$8,Precos!$B$3:$I$3,0))</f>
        <v/>
      </c>
      <c r="C305" s="10">
        <f>IF(AND(Premissas!$B$10&gt;1,A305&lt;Premissas!$B$9),B305*Premissas!$B$10,B305)</f>
        <v/>
      </c>
      <c r="D305" s="12" t="n"/>
      <c r="E305" s="10">
        <f>Precos!J305</f>
        <v/>
      </c>
      <c r="F305" s="12" t="n"/>
    </row>
    <row r="306">
      <c r="A306" s="9">
        <f>Precos!A306</f>
        <v/>
      </c>
      <c r="B306" s="10">
        <f>INDEX(Precos!$B306:$I306,MATCH(Premissas!$B$8,Precos!$B$3:$I$3,0))</f>
        <v/>
      </c>
      <c r="C306" s="10">
        <f>IF(AND(Premissas!$B$10&gt;1,A306&lt;Premissas!$B$9),B306*Premissas!$B$10,B306)</f>
        <v/>
      </c>
      <c r="D306" s="12" t="n"/>
      <c r="E306" s="10">
        <f>Precos!J306</f>
        <v/>
      </c>
      <c r="F306" s="12" t="n"/>
    </row>
    <row r="307">
      <c r="A307" s="9">
        <f>Precos!A307</f>
        <v/>
      </c>
      <c r="B307" s="10">
        <f>INDEX(Precos!$B307:$I307,MATCH(Premissas!$B$8,Precos!$B$3:$I$3,0))</f>
        <v/>
      </c>
      <c r="C307" s="10">
        <f>IF(AND(Premissas!$B$10&gt;1,A307&lt;Premissas!$B$9),B307*Premissas!$B$10,B307)</f>
        <v/>
      </c>
      <c r="D307" s="12" t="n"/>
      <c r="E307" s="10">
        <f>Precos!J307</f>
        <v/>
      </c>
      <c r="F307" s="12" t="n"/>
    </row>
    <row r="308">
      <c r="A308" s="9">
        <f>Precos!A308</f>
        <v/>
      </c>
      <c r="B308" s="10">
        <f>INDEX(Precos!$B308:$I308,MATCH(Premissas!$B$8,Precos!$B$3:$I$3,0))</f>
        <v/>
      </c>
      <c r="C308" s="10">
        <f>IF(AND(Premissas!$B$10&gt;1,A308&lt;Premissas!$B$9),B308*Premissas!$B$10,B308)</f>
        <v/>
      </c>
      <c r="D308" s="12" t="n"/>
      <c r="E308" s="10">
        <f>Precos!J308</f>
        <v/>
      </c>
      <c r="F308" s="12" t="n"/>
    </row>
    <row r="309">
      <c r="A309" s="9">
        <f>Precos!A309</f>
        <v/>
      </c>
      <c r="B309" s="10">
        <f>INDEX(Precos!$B309:$I309,MATCH(Premissas!$B$8,Precos!$B$3:$I$3,0))</f>
        <v/>
      </c>
      <c r="C309" s="10">
        <f>IF(AND(Premissas!$B$10&gt;1,A309&lt;Premissas!$B$9),B309*Premissas!$B$10,B309)</f>
        <v/>
      </c>
      <c r="D309" s="12" t="n"/>
      <c r="E309" s="10">
        <f>Precos!J309</f>
        <v/>
      </c>
      <c r="F309" s="12" t="n"/>
    </row>
    <row r="310">
      <c r="A310" s="9">
        <f>Precos!A310</f>
        <v/>
      </c>
      <c r="B310" s="10">
        <f>INDEX(Precos!$B310:$I310,MATCH(Premissas!$B$8,Precos!$B$3:$I$3,0))</f>
        <v/>
      </c>
      <c r="C310" s="10">
        <f>IF(AND(Premissas!$B$10&gt;1,A310&lt;Premissas!$B$9),B310*Premissas!$B$10,B310)</f>
        <v/>
      </c>
      <c r="D310" s="12" t="n"/>
      <c r="E310" s="10">
        <f>Precos!J310</f>
        <v/>
      </c>
      <c r="F310" s="12" t="n"/>
    </row>
    <row r="311">
      <c r="A311" s="9">
        <f>Precos!A311</f>
        <v/>
      </c>
      <c r="B311" s="10">
        <f>INDEX(Precos!$B311:$I311,MATCH(Premissas!$B$8,Precos!$B$3:$I$3,0))</f>
        <v/>
      </c>
      <c r="C311" s="10">
        <f>IF(AND(Premissas!$B$10&gt;1,A311&lt;Premissas!$B$9),B311*Premissas!$B$10,B311)</f>
        <v/>
      </c>
      <c r="D311" s="12" t="n"/>
      <c r="E311" s="10">
        <f>Precos!J311</f>
        <v/>
      </c>
      <c r="F311" s="12" t="n"/>
    </row>
    <row r="312">
      <c r="A312" s="9">
        <f>Precos!A312</f>
        <v/>
      </c>
      <c r="B312" s="10">
        <f>INDEX(Precos!$B312:$I312,MATCH(Premissas!$B$8,Precos!$B$3:$I$3,0))</f>
        <v/>
      </c>
      <c r="C312" s="10">
        <f>IF(AND(Premissas!$B$10&gt;1,A312&lt;Premissas!$B$9),B312*Premissas!$B$10,B312)</f>
        <v/>
      </c>
      <c r="D312" s="12" t="n"/>
      <c r="E312" s="10">
        <f>Precos!J312</f>
        <v/>
      </c>
      <c r="F312" s="12" t="n"/>
    </row>
    <row r="313">
      <c r="A313" s="9">
        <f>Precos!A313</f>
        <v/>
      </c>
      <c r="B313" s="10">
        <f>INDEX(Precos!$B313:$I313,MATCH(Premissas!$B$8,Precos!$B$3:$I$3,0))</f>
        <v/>
      </c>
      <c r="C313" s="10">
        <f>IF(AND(Premissas!$B$10&gt;1,A313&lt;Premissas!$B$9),B313*Premissas!$B$10,B313)</f>
        <v/>
      </c>
      <c r="D313" s="12" t="n"/>
      <c r="E313" s="10">
        <f>Precos!J313</f>
        <v/>
      </c>
      <c r="F313" s="12" t="n"/>
    </row>
    <row r="314">
      <c r="A314" s="9">
        <f>Precos!A314</f>
        <v/>
      </c>
      <c r="B314" s="10">
        <f>INDEX(Precos!$B314:$I314,MATCH(Premissas!$B$8,Precos!$B$3:$I$3,0))</f>
        <v/>
      </c>
      <c r="C314" s="10">
        <f>IF(AND(Premissas!$B$10&gt;1,A314&lt;Premissas!$B$9),B314*Premissas!$B$10,B314)</f>
        <v/>
      </c>
      <c r="D314" s="12" t="n"/>
      <c r="E314" s="10">
        <f>Precos!J314</f>
        <v/>
      </c>
      <c r="F314" s="12" t="n"/>
    </row>
    <row r="315">
      <c r="A315" s="9">
        <f>Precos!A315</f>
        <v/>
      </c>
      <c r="B315" s="10">
        <f>INDEX(Precos!$B315:$I315,MATCH(Premissas!$B$8,Precos!$B$3:$I$3,0))</f>
        <v/>
      </c>
      <c r="C315" s="10">
        <f>IF(AND(Premissas!$B$10&gt;1,A315&lt;Premissas!$B$9),B315*Premissas!$B$10,B315)</f>
        <v/>
      </c>
      <c r="D315" s="12" t="n"/>
      <c r="E315" s="10">
        <f>Precos!J315</f>
        <v/>
      </c>
      <c r="F315" s="12" t="n"/>
    </row>
    <row r="316">
      <c r="A316" s="9">
        <f>Precos!A316</f>
        <v/>
      </c>
      <c r="B316" s="10">
        <f>INDEX(Precos!$B316:$I316,MATCH(Premissas!$B$8,Precos!$B$3:$I$3,0))</f>
        <v/>
      </c>
      <c r="C316" s="10">
        <f>IF(AND(Premissas!$B$10&gt;1,A316&lt;Premissas!$B$9),B316*Premissas!$B$10,B316)</f>
        <v/>
      </c>
      <c r="D316" s="12" t="n"/>
      <c r="E316" s="10">
        <f>Precos!J316</f>
        <v/>
      </c>
      <c r="F316" s="12" t="n"/>
    </row>
    <row r="317">
      <c r="A317" s="9">
        <f>Precos!A317</f>
        <v/>
      </c>
      <c r="B317" s="10">
        <f>INDEX(Precos!$B317:$I317,MATCH(Premissas!$B$8,Precos!$B$3:$I$3,0))</f>
        <v/>
      </c>
      <c r="C317" s="10">
        <f>IF(AND(Premissas!$B$10&gt;1,A317&lt;Premissas!$B$9),B317*Premissas!$B$10,B317)</f>
        <v/>
      </c>
      <c r="D317" s="12" t="n"/>
      <c r="E317" s="10">
        <f>Precos!J317</f>
        <v/>
      </c>
      <c r="F317" s="12" t="n"/>
    </row>
    <row r="318">
      <c r="A318" s="9">
        <f>Precos!A318</f>
        <v/>
      </c>
      <c r="B318" s="10">
        <f>INDEX(Precos!$B318:$I318,MATCH(Premissas!$B$8,Precos!$B$3:$I$3,0))</f>
        <v/>
      </c>
      <c r="C318" s="10">
        <f>IF(AND(Premissas!$B$10&gt;1,A318&lt;Premissas!$B$9),B318*Premissas!$B$10,B318)</f>
        <v/>
      </c>
      <c r="D318" s="12" t="n"/>
      <c r="E318" s="10">
        <f>Precos!J318</f>
        <v/>
      </c>
      <c r="F318" s="12" t="n"/>
    </row>
    <row r="319">
      <c r="A319" s="9">
        <f>Precos!A319</f>
        <v/>
      </c>
      <c r="B319" s="10">
        <f>INDEX(Precos!$B319:$I319,MATCH(Premissas!$B$8,Precos!$B$3:$I$3,0))</f>
        <v/>
      </c>
      <c r="C319" s="10">
        <f>IF(AND(Premissas!$B$10&gt;1,A319&lt;Premissas!$B$9),B319*Premissas!$B$10,B319)</f>
        <v/>
      </c>
      <c r="D319" s="12" t="n"/>
      <c r="E319" s="10">
        <f>Precos!J319</f>
        <v/>
      </c>
      <c r="F319" s="12" t="n"/>
    </row>
    <row r="320">
      <c r="A320" s="9">
        <f>Precos!A320</f>
        <v/>
      </c>
      <c r="B320" s="10">
        <f>INDEX(Precos!$B320:$I320,MATCH(Premissas!$B$8,Precos!$B$3:$I$3,0))</f>
        <v/>
      </c>
      <c r="C320" s="10">
        <f>IF(AND(Premissas!$B$10&gt;1,A320&lt;Premissas!$B$9),B320*Premissas!$B$10,B320)</f>
        <v/>
      </c>
      <c r="D320" s="12" t="n"/>
      <c r="E320" s="10">
        <f>Precos!J320</f>
        <v/>
      </c>
      <c r="F320" s="12" t="n"/>
    </row>
    <row r="321">
      <c r="A321" s="9">
        <f>Precos!A321</f>
        <v/>
      </c>
      <c r="B321" s="10">
        <f>INDEX(Precos!$B321:$I321,MATCH(Premissas!$B$8,Precos!$B$3:$I$3,0))</f>
        <v/>
      </c>
      <c r="C321" s="10">
        <f>IF(AND(Premissas!$B$10&gt;1,A321&lt;Premissas!$B$9),B321*Premissas!$B$10,B321)</f>
        <v/>
      </c>
      <c r="D321" s="12" t="n"/>
      <c r="E321" s="10">
        <f>Precos!J321</f>
        <v/>
      </c>
      <c r="F321" s="12" t="n"/>
    </row>
    <row r="322">
      <c r="A322" s="9">
        <f>Precos!A322</f>
        <v/>
      </c>
      <c r="B322" s="10">
        <f>INDEX(Precos!$B322:$I322,MATCH(Premissas!$B$8,Precos!$B$3:$I$3,0))</f>
        <v/>
      </c>
      <c r="C322" s="10">
        <f>IF(AND(Premissas!$B$10&gt;1,A322&lt;Premissas!$B$9),B322*Premissas!$B$10,B322)</f>
        <v/>
      </c>
      <c r="D322" s="12" t="n"/>
      <c r="E322" s="10">
        <f>Precos!J322</f>
        <v/>
      </c>
      <c r="F322" s="12" t="n"/>
    </row>
    <row r="323">
      <c r="A323" s="9">
        <f>Precos!A323</f>
        <v/>
      </c>
      <c r="B323" s="10">
        <f>INDEX(Precos!$B323:$I323,MATCH(Premissas!$B$8,Precos!$B$3:$I$3,0))</f>
        <v/>
      </c>
      <c r="C323" s="10">
        <f>IF(AND(Premissas!$B$10&gt;1,A323&lt;Premissas!$B$9),B323*Premissas!$B$10,B323)</f>
        <v/>
      </c>
      <c r="D323" s="12" t="n"/>
      <c r="E323" s="10">
        <f>Precos!J323</f>
        <v/>
      </c>
      <c r="F323" s="12" t="n"/>
    </row>
    <row r="324">
      <c r="A324" s="9">
        <f>Precos!A324</f>
        <v/>
      </c>
      <c r="B324" s="10">
        <f>INDEX(Precos!$B324:$I324,MATCH(Premissas!$B$8,Precos!$B$3:$I$3,0))</f>
        <v/>
      </c>
      <c r="C324" s="10">
        <f>IF(AND(Premissas!$B$10&gt;1,A324&lt;Premissas!$B$9),B324*Premissas!$B$10,B324)</f>
        <v/>
      </c>
      <c r="D324" s="12" t="n"/>
      <c r="E324" s="10">
        <f>Precos!J324</f>
        <v/>
      </c>
      <c r="F324" s="12" t="n"/>
    </row>
    <row r="325">
      <c r="A325" s="9">
        <f>Precos!A325</f>
        <v/>
      </c>
      <c r="B325" s="10">
        <f>INDEX(Precos!$B325:$I325,MATCH(Premissas!$B$8,Precos!$B$3:$I$3,0))</f>
        <v/>
      </c>
      <c r="C325" s="10">
        <f>IF(AND(Premissas!$B$10&gt;1,A325&lt;Premissas!$B$9),B325*Premissas!$B$10,B325)</f>
        <v/>
      </c>
      <c r="D325" s="12" t="n"/>
      <c r="E325" s="10">
        <f>Precos!J325</f>
        <v/>
      </c>
      <c r="F325" s="12" t="n"/>
    </row>
    <row r="326">
      <c r="A326" s="9">
        <f>Precos!A326</f>
        <v/>
      </c>
      <c r="B326" s="10">
        <f>INDEX(Precos!$B326:$I326,MATCH(Premissas!$B$8,Precos!$B$3:$I$3,0))</f>
        <v/>
      </c>
      <c r="C326" s="10">
        <f>IF(AND(Premissas!$B$10&gt;1,A326&lt;Premissas!$B$9),B326*Premissas!$B$10,B326)</f>
        <v/>
      </c>
      <c r="D326" s="12" t="n"/>
      <c r="E326" s="10">
        <f>Precos!J326</f>
        <v/>
      </c>
      <c r="F326" s="12" t="n"/>
    </row>
    <row r="327">
      <c r="A327" s="9">
        <f>Precos!A327</f>
        <v/>
      </c>
      <c r="B327" s="10">
        <f>INDEX(Precos!$B327:$I327,MATCH(Premissas!$B$8,Precos!$B$3:$I$3,0))</f>
        <v/>
      </c>
      <c r="C327" s="10">
        <f>IF(AND(Premissas!$B$10&gt;1,A327&lt;Premissas!$B$9),B327*Premissas!$B$10,B327)</f>
        <v/>
      </c>
      <c r="D327" s="12" t="n"/>
      <c r="E327" s="10">
        <f>Precos!J327</f>
        <v/>
      </c>
      <c r="F327" s="12" t="n"/>
    </row>
    <row r="328">
      <c r="A328" s="9">
        <f>Precos!A328</f>
        <v/>
      </c>
      <c r="B328" s="10">
        <f>INDEX(Precos!$B328:$I328,MATCH(Premissas!$B$8,Precos!$B$3:$I$3,0))</f>
        <v/>
      </c>
      <c r="C328" s="10">
        <f>IF(AND(Premissas!$B$10&gt;1,A328&lt;Premissas!$B$9),B328*Premissas!$B$10,B328)</f>
        <v/>
      </c>
      <c r="D328" s="12" t="n"/>
      <c r="E328" s="10">
        <f>Precos!J328</f>
        <v/>
      </c>
      <c r="F328" s="12" t="n"/>
    </row>
    <row r="329">
      <c r="A329" s="9">
        <f>Precos!A329</f>
        <v/>
      </c>
      <c r="B329" s="10">
        <f>INDEX(Precos!$B329:$I329,MATCH(Premissas!$B$8,Precos!$B$3:$I$3,0))</f>
        <v/>
      </c>
      <c r="C329" s="10">
        <f>IF(AND(Premissas!$B$10&gt;1,A329&lt;Premissas!$B$9),B329*Premissas!$B$10,B329)</f>
        <v/>
      </c>
      <c r="D329" s="12" t="n"/>
      <c r="E329" s="10">
        <f>Precos!J329</f>
        <v/>
      </c>
      <c r="F329" s="12" t="n"/>
    </row>
    <row r="330">
      <c r="A330" s="9">
        <f>Precos!A330</f>
        <v/>
      </c>
      <c r="B330" s="10">
        <f>INDEX(Precos!$B330:$I330,MATCH(Premissas!$B$8,Precos!$B$3:$I$3,0))</f>
        <v/>
      </c>
      <c r="C330" s="10">
        <f>IF(AND(Premissas!$B$10&gt;1,A330&lt;Premissas!$B$9),B330*Premissas!$B$10,B330)</f>
        <v/>
      </c>
      <c r="D330" s="12" t="n"/>
      <c r="E330" s="10">
        <f>Precos!J330</f>
        <v/>
      </c>
      <c r="F330" s="12" t="n"/>
    </row>
    <row r="331">
      <c r="A331" s="9">
        <f>Precos!A331</f>
        <v/>
      </c>
      <c r="B331" s="10">
        <f>INDEX(Precos!$B331:$I331,MATCH(Premissas!$B$8,Precos!$B$3:$I$3,0))</f>
        <v/>
      </c>
      <c r="C331" s="10">
        <f>IF(AND(Premissas!$B$10&gt;1,A331&lt;Premissas!$B$9),B331*Premissas!$B$10,B331)</f>
        <v/>
      </c>
      <c r="D331" s="12" t="n"/>
      <c r="E331" s="10">
        <f>Precos!J331</f>
        <v/>
      </c>
      <c r="F331" s="12" t="n"/>
    </row>
    <row r="332">
      <c r="A332" s="9">
        <f>Precos!A332</f>
        <v/>
      </c>
      <c r="B332" s="10">
        <f>INDEX(Precos!$B332:$I332,MATCH(Premissas!$B$8,Precos!$B$3:$I$3,0))</f>
        <v/>
      </c>
      <c r="C332" s="10">
        <f>IF(AND(Premissas!$B$10&gt;1,A332&lt;Premissas!$B$9),B332*Premissas!$B$10,B332)</f>
        <v/>
      </c>
      <c r="D332" s="12" t="n"/>
      <c r="E332" s="10">
        <f>Precos!J332</f>
        <v/>
      </c>
      <c r="F332" s="12" t="n"/>
    </row>
    <row r="333">
      <c r="A333" s="9">
        <f>Precos!A333</f>
        <v/>
      </c>
      <c r="B333" s="10">
        <f>INDEX(Precos!$B333:$I333,MATCH(Premissas!$B$8,Precos!$B$3:$I$3,0))</f>
        <v/>
      </c>
      <c r="C333" s="10">
        <f>IF(AND(Premissas!$B$10&gt;1,A333&lt;Premissas!$B$9),B333*Premissas!$B$10,B333)</f>
        <v/>
      </c>
      <c r="D333" s="12" t="n"/>
      <c r="E333" s="10">
        <f>Precos!J333</f>
        <v/>
      </c>
      <c r="F333" s="12" t="n"/>
    </row>
    <row r="334">
      <c r="A334" s="9">
        <f>Precos!A334</f>
        <v/>
      </c>
      <c r="B334" s="10">
        <f>INDEX(Precos!$B334:$I334,MATCH(Premissas!$B$8,Precos!$B$3:$I$3,0))</f>
        <v/>
      </c>
      <c r="C334" s="10">
        <f>IF(AND(Premissas!$B$10&gt;1,A334&lt;Premissas!$B$9),B334*Premissas!$B$10,B334)</f>
        <v/>
      </c>
      <c r="D334" s="12" t="n"/>
      <c r="E334" s="10">
        <f>Precos!J334</f>
        <v/>
      </c>
      <c r="F334" s="12" t="n"/>
    </row>
    <row r="335">
      <c r="A335" s="9">
        <f>Precos!A335</f>
        <v/>
      </c>
      <c r="B335" s="10">
        <f>INDEX(Precos!$B335:$I335,MATCH(Premissas!$B$8,Precos!$B$3:$I$3,0))</f>
        <v/>
      </c>
      <c r="C335" s="10">
        <f>IF(AND(Premissas!$B$10&gt;1,A335&lt;Premissas!$B$9),B335*Premissas!$B$10,B335)</f>
        <v/>
      </c>
      <c r="D335" s="12" t="n"/>
      <c r="E335" s="10">
        <f>Precos!J335</f>
        <v/>
      </c>
      <c r="F335" s="12" t="n"/>
    </row>
    <row r="336">
      <c r="A336" s="9">
        <f>Precos!A336</f>
        <v/>
      </c>
      <c r="B336" s="10">
        <f>INDEX(Precos!$B336:$I336,MATCH(Premissas!$B$8,Precos!$B$3:$I$3,0))</f>
        <v/>
      </c>
      <c r="C336" s="10">
        <f>IF(AND(Premissas!$B$10&gt;1,A336&lt;Premissas!$B$9),B336*Premissas!$B$10,B336)</f>
        <v/>
      </c>
      <c r="D336" s="12" t="n"/>
      <c r="E336" s="10">
        <f>Precos!J336</f>
        <v/>
      </c>
      <c r="F336" s="12" t="n"/>
    </row>
    <row r="337">
      <c r="A337" s="9">
        <f>Precos!A337</f>
        <v/>
      </c>
      <c r="B337" s="10">
        <f>INDEX(Precos!$B337:$I337,MATCH(Premissas!$B$8,Precos!$B$3:$I$3,0))</f>
        <v/>
      </c>
      <c r="C337" s="10">
        <f>IF(AND(Premissas!$B$10&gt;1,A337&lt;Premissas!$B$9),B337*Premissas!$B$10,B337)</f>
        <v/>
      </c>
      <c r="D337" s="12" t="n"/>
      <c r="E337" s="10">
        <f>Precos!J337</f>
        <v/>
      </c>
      <c r="F337" s="12" t="n"/>
    </row>
    <row r="338">
      <c r="A338" s="9">
        <f>Precos!A338</f>
        <v/>
      </c>
      <c r="B338" s="10">
        <f>INDEX(Precos!$B338:$I338,MATCH(Premissas!$B$8,Precos!$B$3:$I$3,0))</f>
        <v/>
      </c>
      <c r="C338" s="10">
        <f>IF(AND(Premissas!$B$10&gt;1,A338&lt;Premissas!$B$9),B338*Premissas!$B$10,B338)</f>
        <v/>
      </c>
      <c r="D338" s="12" t="n"/>
      <c r="E338" s="10">
        <f>Precos!J338</f>
        <v/>
      </c>
      <c r="F338" s="12" t="n"/>
    </row>
    <row r="339">
      <c r="A339" s="9">
        <f>Precos!A339</f>
        <v/>
      </c>
      <c r="B339" s="10">
        <f>INDEX(Precos!$B339:$I339,MATCH(Premissas!$B$8,Precos!$B$3:$I$3,0))</f>
        <v/>
      </c>
      <c r="C339" s="10">
        <f>IF(AND(Premissas!$B$10&gt;1,A339&lt;Premissas!$B$9),B339*Premissas!$B$10,B339)</f>
        <v/>
      </c>
      <c r="D339" s="12" t="n"/>
      <c r="E339" s="10">
        <f>Precos!J339</f>
        <v/>
      </c>
      <c r="F339" s="12" t="n"/>
    </row>
    <row r="340">
      <c r="A340" s="9">
        <f>Precos!A340</f>
        <v/>
      </c>
      <c r="B340" s="10">
        <f>INDEX(Precos!$B340:$I340,MATCH(Premissas!$B$8,Precos!$B$3:$I$3,0))</f>
        <v/>
      </c>
      <c r="C340" s="10">
        <f>IF(AND(Premissas!$B$10&gt;1,A340&lt;Premissas!$B$9),B340*Premissas!$B$10,B340)</f>
        <v/>
      </c>
      <c r="D340" s="12" t="n"/>
      <c r="E340" s="10">
        <f>Precos!J340</f>
        <v/>
      </c>
      <c r="F340" s="12" t="n"/>
    </row>
    <row r="341">
      <c r="A341" s="9">
        <f>Precos!A341</f>
        <v/>
      </c>
      <c r="B341" s="10">
        <f>INDEX(Precos!$B341:$I341,MATCH(Premissas!$B$8,Precos!$B$3:$I$3,0))</f>
        <v/>
      </c>
      <c r="C341" s="10">
        <f>IF(AND(Premissas!$B$10&gt;1,A341&lt;Premissas!$B$9),B341*Premissas!$B$10,B341)</f>
        <v/>
      </c>
      <c r="D341" s="12" t="n"/>
      <c r="E341" s="10">
        <f>Precos!J341</f>
        <v/>
      </c>
      <c r="F341" s="12" t="n"/>
    </row>
    <row r="342">
      <c r="A342" s="9">
        <f>Precos!A342</f>
        <v/>
      </c>
      <c r="B342" s="10">
        <f>INDEX(Precos!$B342:$I342,MATCH(Premissas!$B$8,Precos!$B$3:$I$3,0))</f>
        <v/>
      </c>
      <c r="C342" s="10">
        <f>IF(AND(Premissas!$B$10&gt;1,A342&lt;Premissas!$B$9),B342*Premissas!$B$10,B342)</f>
        <v/>
      </c>
      <c r="D342" s="12" t="n"/>
      <c r="E342" s="10">
        <f>Precos!J342</f>
        <v/>
      </c>
      <c r="F342" s="12" t="n"/>
    </row>
    <row r="343">
      <c r="A343" s="9">
        <f>Precos!A343</f>
        <v/>
      </c>
      <c r="B343" s="10">
        <f>INDEX(Precos!$B343:$I343,MATCH(Premissas!$B$8,Precos!$B$3:$I$3,0))</f>
        <v/>
      </c>
      <c r="C343" s="10">
        <f>IF(AND(Premissas!$B$10&gt;1,A343&lt;Premissas!$B$9),B343*Premissas!$B$10,B343)</f>
        <v/>
      </c>
      <c r="D343" s="12" t="n"/>
      <c r="E343" s="10">
        <f>Precos!J343</f>
        <v/>
      </c>
      <c r="F343" s="12" t="n"/>
    </row>
    <row r="344">
      <c r="A344" s="9">
        <f>Precos!A344</f>
        <v/>
      </c>
      <c r="B344" s="10">
        <f>INDEX(Precos!$B344:$I344,MATCH(Premissas!$B$8,Precos!$B$3:$I$3,0))</f>
        <v/>
      </c>
      <c r="C344" s="10">
        <f>IF(AND(Premissas!$B$10&gt;1,A344&lt;Premissas!$B$9),B344*Premissas!$B$10,B344)</f>
        <v/>
      </c>
      <c r="D344" s="12" t="n"/>
      <c r="E344" s="10">
        <f>Precos!J344</f>
        <v/>
      </c>
      <c r="F344" s="12" t="n"/>
    </row>
    <row r="345">
      <c r="A345" s="9">
        <f>Precos!A345</f>
        <v/>
      </c>
      <c r="B345" s="10">
        <f>INDEX(Precos!$B345:$I345,MATCH(Premissas!$B$8,Precos!$B$3:$I$3,0))</f>
        <v/>
      </c>
      <c r="C345" s="10">
        <f>IF(AND(Premissas!$B$10&gt;1,A345&lt;Premissas!$B$9),B345*Premissas!$B$10,B345)</f>
        <v/>
      </c>
      <c r="D345" s="12" t="n"/>
      <c r="E345" s="10">
        <f>Precos!J345</f>
        <v/>
      </c>
      <c r="F345" s="12" t="n"/>
    </row>
    <row r="346">
      <c r="A346" s="9">
        <f>Precos!A346</f>
        <v/>
      </c>
      <c r="B346" s="10">
        <f>INDEX(Precos!$B346:$I346,MATCH(Premissas!$B$8,Precos!$B$3:$I$3,0))</f>
        <v/>
      </c>
      <c r="C346" s="10">
        <f>IF(AND(Premissas!$B$10&gt;1,A346&lt;Premissas!$B$9),B346*Premissas!$B$10,B346)</f>
        <v/>
      </c>
      <c r="D346" s="12" t="n"/>
      <c r="E346" s="10">
        <f>Precos!J346</f>
        <v/>
      </c>
      <c r="F346" s="12" t="n"/>
    </row>
    <row r="347">
      <c r="A347" s="9">
        <f>Precos!A347</f>
        <v/>
      </c>
      <c r="B347" s="10">
        <f>INDEX(Precos!$B347:$I347,MATCH(Premissas!$B$8,Precos!$B$3:$I$3,0))</f>
        <v/>
      </c>
      <c r="C347" s="10">
        <f>IF(AND(Premissas!$B$10&gt;1,A347&lt;Premissas!$B$9),B347*Premissas!$B$10,B347)</f>
        <v/>
      </c>
      <c r="D347" s="12" t="n"/>
      <c r="E347" s="10">
        <f>Precos!J347</f>
        <v/>
      </c>
      <c r="F347" s="12" t="n"/>
    </row>
    <row r="348">
      <c r="A348" s="9">
        <f>Precos!A348</f>
        <v/>
      </c>
      <c r="B348" s="10">
        <f>INDEX(Precos!$B348:$I348,MATCH(Premissas!$B$8,Precos!$B$3:$I$3,0))</f>
        <v/>
      </c>
      <c r="C348" s="10">
        <f>IF(AND(Premissas!$B$10&gt;1,A348&lt;Premissas!$B$9),B348*Premissas!$B$10,B348)</f>
        <v/>
      </c>
      <c r="D348" s="12" t="n"/>
      <c r="E348" s="10">
        <f>Precos!J348</f>
        <v/>
      </c>
      <c r="F348" s="12" t="n"/>
    </row>
    <row r="349">
      <c r="A349" s="9">
        <f>Precos!A349</f>
        <v/>
      </c>
      <c r="B349" s="10">
        <f>INDEX(Precos!$B349:$I349,MATCH(Premissas!$B$8,Precos!$B$3:$I$3,0))</f>
        <v/>
      </c>
      <c r="C349" s="10">
        <f>IF(AND(Premissas!$B$10&gt;1,A349&lt;Premissas!$B$9),B349*Premissas!$B$10,B349)</f>
        <v/>
      </c>
      <c r="D349" s="12" t="n"/>
      <c r="E349" s="10">
        <f>Precos!J349</f>
        <v/>
      </c>
      <c r="F349" s="12" t="n"/>
    </row>
    <row r="350">
      <c r="A350" s="9">
        <f>Precos!A350</f>
        <v/>
      </c>
      <c r="B350" s="10">
        <f>INDEX(Precos!$B350:$I350,MATCH(Premissas!$B$8,Precos!$B$3:$I$3,0))</f>
        <v/>
      </c>
      <c r="C350" s="10">
        <f>IF(AND(Premissas!$B$10&gt;1,A350&lt;Premissas!$B$9),B350*Premissas!$B$10,B350)</f>
        <v/>
      </c>
      <c r="D350" s="12" t="n"/>
      <c r="E350" s="10">
        <f>Precos!J350</f>
        <v/>
      </c>
      <c r="F350" s="12" t="n"/>
    </row>
    <row r="351">
      <c r="A351" s="9">
        <f>Precos!A351</f>
        <v/>
      </c>
      <c r="B351" s="10">
        <f>INDEX(Precos!$B351:$I351,MATCH(Premissas!$B$8,Precos!$B$3:$I$3,0))</f>
        <v/>
      </c>
      <c r="C351" s="10">
        <f>IF(AND(Premissas!$B$10&gt;1,A351&lt;Premissas!$B$9),B351*Premissas!$B$10,B351)</f>
        <v/>
      </c>
      <c r="D351" s="12" t="n"/>
      <c r="E351" s="10">
        <f>Precos!J351</f>
        <v/>
      </c>
      <c r="F351" s="12" t="n"/>
    </row>
    <row r="352">
      <c r="A352" s="9">
        <f>Precos!A352</f>
        <v/>
      </c>
      <c r="B352" s="10">
        <f>INDEX(Precos!$B352:$I352,MATCH(Premissas!$B$8,Precos!$B$3:$I$3,0))</f>
        <v/>
      </c>
      <c r="C352" s="10">
        <f>IF(AND(Premissas!$B$10&gt;1,A352&lt;Premissas!$B$9),B352*Premissas!$B$10,B352)</f>
        <v/>
      </c>
      <c r="D352" s="12" t="n"/>
      <c r="E352" s="10">
        <f>Precos!J352</f>
        <v/>
      </c>
      <c r="F352" s="12" t="n"/>
    </row>
    <row r="353">
      <c r="A353" s="9">
        <f>Precos!A353</f>
        <v/>
      </c>
      <c r="B353" s="10">
        <f>INDEX(Precos!$B353:$I353,MATCH(Premissas!$B$8,Precos!$B$3:$I$3,0))</f>
        <v/>
      </c>
      <c r="C353" s="10">
        <f>IF(AND(Premissas!$B$10&gt;1,A353&lt;Premissas!$B$9),B353*Premissas!$B$10,B353)</f>
        <v/>
      </c>
      <c r="D353" s="12" t="n"/>
      <c r="E353" s="10">
        <f>Precos!J353</f>
        <v/>
      </c>
      <c r="F353" s="12" t="n"/>
    </row>
    <row r="354">
      <c r="A354" s="9">
        <f>Precos!A354</f>
        <v/>
      </c>
      <c r="B354" s="10">
        <f>INDEX(Precos!$B354:$I354,MATCH(Premissas!$B$8,Precos!$B$3:$I$3,0))</f>
        <v/>
      </c>
      <c r="C354" s="10">
        <f>IF(AND(Premissas!$B$10&gt;1,A354&lt;Premissas!$B$9),B354*Premissas!$B$10,B354)</f>
        <v/>
      </c>
      <c r="D354" s="12" t="n"/>
      <c r="E354" s="10">
        <f>Precos!J354</f>
        <v/>
      </c>
      <c r="F354" s="12" t="n"/>
    </row>
    <row r="355">
      <c r="A355" s="9">
        <f>Precos!A355</f>
        <v/>
      </c>
      <c r="B355" s="10">
        <f>INDEX(Precos!$B355:$I355,MATCH(Premissas!$B$8,Precos!$B$3:$I$3,0))</f>
        <v/>
      </c>
      <c r="C355" s="10">
        <f>IF(AND(Premissas!$B$10&gt;1,A355&lt;Premissas!$B$9),B355*Premissas!$B$10,B355)</f>
        <v/>
      </c>
      <c r="D355" s="12" t="n"/>
      <c r="E355" s="10">
        <f>Precos!J355</f>
        <v/>
      </c>
      <c r="F355" s="12" t="n"/>
    </row>
    <row r="356">
      <c r="A356" s="9">
        <f>Precos!A356</f>
        <v/>
      </c>
      <c r="B356" s="10">
        <f>INDEX(Precos!$B356:$I356,MATCH(Premissas!$B$8,Precos!$B$3:$I$3,0))</f>
        <v/>
      </c>
      <c r="C356" s="10">
        <f>IF(AND(Premissas!$B$10&gt;1,A356&lt;Premissas!$B$9),B356*Premissas!$B$10,B356)</f>
        <v/>
      </c>
      <c r="D356" s="12" t="n"/>
      <c r="E356" s="10">
        <f>Precos!J356</f>
        <v/>
      </c>
      <c r="F356" s="12" t="n"/>
    </row>
    <row r="357">
      <c r="A357" s="9">
        <f>Precos!A357</f>
        <v/>
      </c>
      <c r="B357" s="10">
        <f>INDEX(Precos!$B357:$I357,MATCH(Premissas!$B$8,Precos!$B$3:$I$3,0))</f>
        <v/>
      </c>
      <c r="C357" s="10">
        <f>IF(AND(Premissas!$B$10&gt;1,A357&lt;Premissas!$B$9),B357*Premissas!$B$10,B357)</f>
        <v/>
      </c>
      <c r="D357" s="12" t="n"/>
      <c r="E357" s="10">
        <f>Precos!J357</f>
        <v/>
      </c>
      <c r="F357" s="12" t="n"/>
    </row>
    <row r="358">
      <c r="A358" s="9">
        <f>Precos!A358</f>
        <v/>
      </c>
      <c r="B358" s="10">
        <f>INDEX(Precos!$B358:$I358,MATCH(Premissas!$B$8,Precos!$B$3:$I$3,0))</f>
        <v/>
      </c>
      <c r="C358" s="10">
        <f>IF(AND(Premissas!$B$10&gt;1,A358&lt;Premissas!$B$9),B358*Premissas!$B$10,B358)</f>
        <v/>
      </c>
      <c r="D358" s="12" t="n"/>
      <c r="E358" s="10">
        <f>Precos!J358</f>
        <v/>
      </c>
      <c r="F358" s="12" t="n"/>
    </row>
    <row r="359">
      <c r="A359" s="9">
        <f>Precos!A359</f>
        <v/>
      </c>
      <c r="B359" s="10">
        <f>INDEX(Precos!$B359:$I359,MATCH(Premissas!$B$8,Precos!$B$3:$I$3,0))</f>
        <v/>
      </c>
      <c r="C359" s="10">
        <f>IF(AND(Premissas!$B$10&gt;1,A359&lt;Premissas!$B$9),B359*Premissas!$B$10,B359)</f>
        <v/>
      </c>
      <c r="D359" s="12" t="n"/>
      <c r="E359" s="10">
        <f>Precos!J359</f>
        <v/>
      </c>
      <c r="F359" s="12" t="n"/>
    </row>
    <row r="360">
      <c r="A360" s="9">
        <f>Precos!A360</f>
        <v/>
      </c>
      <c r="B360" s="10">
        <f>INDEX(Precos!$B360:$I360,MATCH(Premissas!$B$8,Precos!$B$3:$I$3,0))</f>
        <v/>
      </c>
      <c r="C360" s="10">
        <f>IF(AND(Premissas!$B$10&gt;1,A360&lt;Premissas!$B$9),B360*Premissas!$B$10,B360)</f>
        <v/>
      </c>
      <c r="D360" s="12" t="n"/>
      <c r="E360" s="10">
        <f>Precos!J360</f>
        <v/>
      </c>
      <c r="F360" s="12" t="n"/>
    </row>
    <row r="361">
      <c r="A361" s="9">
        <f>Precos!A361</f>
        <v/>
      </c>
      <c r="B361" s="10">
        <f>INDEX(Precos!$B361:$I361,MATCH(Premissas!$B$8,Precos!$B$3:$I$3,0))</f>
        <v/>
      </c>
      <c r="C361" s="10">
        <f>IF(AND(Premissas!$B$10&gt;1,A361&lt;Premissas!$B$9),B361*Premissas!$B$10,B361)</f>
        <v/>
      </c>
      <c r="D361" s="12" t="n"/>
      <c r="E361" s="10">
        <f>Precos!J361</f>
        <v/>
      </c>
      <c r="F361" s="12" t="n"/>
    </row>
    <row r="362">
      <c r="A362" s="9">
        <f>Precos!A362</f>
        <v/>
      </c>
      <c r="B362" s="10">
        <f>INDEX(Precos!$B362:$I362,MATCH(Premissas!$B$8,Precos!$B$3:$I$3,0))</f>
        <v/>
      </c>
      <c r="C362" s="10">
        <f>IF(AND(Premissas!$B$10&gt;1,A362&lt;Premissas!$B$9),B362*Premissas!$B$10,B362)</f>
        <v/>
      </c>
      <c r="D362" s="12" t="n"/>
      <c r="E362" s="10">
        <f>Precos!J362</f>
        <v/>
      </c>
      <c r="F362" s="12" t="n"/>
    </row>
    <row r="363">
      <c r="A363" s="9">
        <f>Precos!A363</f>
        <v/>
      </c>
      <c r="B363" s="10">
        <f>INDEX(Precos!$B363:$I363,MATCH(Premissas!$B$8,Precos!$B$3:$I$3,0))</f>
        <v/>
      </c>
      <c r="C363" s="10">
        <f>IF(AND(Premissas!$B$10&gt;1,A363&lt;Premissas!$B$9),B363*Premissas!$B$10,B363)</f>
        <v/>
      </c>
      <c r="D363" s="12" t="n"/>
      <c r="E363" s="10">
        <f>Precos!J363</f>
        <v/>
      </c>
      <c r="F363" s="12" t="n"/>
    </row>
    <row r="364">
      <c r="A364" s="9">
        <f>Precos!A364</f>
        <v/>
      </c>
      <c r="B364" s="10">
        <f>INDEX(Precos!$B364:$I364,MATCH(Premissas!$B$8,Precos!$B$3:$I$3,0))</f>
        <v/>
      </c>
      <c r="C364" s="10">
        <f>IF(AND(Premissas!$B$10&gt;1,A364&lt;Premissas!$B$9),B364*Premissas!$B$10,B364)</f>
        <v/>
      </c>
      <c r="D364" s="12" t="n"/>
      <c r="E364" s="10">
        <f>Precos!J364</f>
        <v/>
      </c>
      <c r="F364" s="12" t="n"/>
    </row>
    <row r="365">
      <c r="A365" s="9">
        <f>Precos!A365</f>
        <v/>
      </c>
      <c r="B365" s="10">
        <f>INDEX(Precos!$B365:$I365,MATCH(Premissas!$B$8,Precos!$B$3:$I$3,0))</f>
        <v/>
      </c>
      <c r="C365" s="10">
        <f>IF(AND(Premissas!$B$10&gt;1,A365&lt;Premissas!$B$9),B365*Premissas!$B$10,B365)</f>
        <v/>
      </c>
      <c r="D365" s="12" t="n"/>
      <c r="E365" s="10">
        <f>Precos!J365</f>
        <v/>
      </c>
      <c r="F365" s="12" t="n"/>
    </row>
    <row r="366">
      <c r="A366" s="9">
        <f>Precos!A366</f>
        <v/>
      </c>
      <c r="B366" s="10">
        <f>INDEX(Precos!$B366:$I366,MATCH(Premissas!$B$8,Precos!$B$3:$I$3,0))</f>
        <v/>
      </c>
      <c r="C366" s="10">
        <f>IF(AND(Premissas!$B$10&gt;1,A366&lt;Premissas!$B$9),B366*Premissas!$B$10,B366)</f>
        <v/>
      </c>
      <c r="D366" s="12" t="n"/>
      <c r="E366" s="10">
        <f>Precos!J366</f>
        <v/>
      </c>
      <c r="F366" s="12" t="n"/>
    </row>
    <row r="367">
      <c r="A367" s="9">
        <f>Precos!A367</f>
        <v/>
      </c>
      <c r="B367" s="10">
        <f>INDEX(Precos!$B367:$I367,MATCH(Premissas!$B$8,Precos!$B$3:$I$3,0))</f>
        <v/>
      </c>
      <c r="C367" s="10">
        <f>IF(AND(Premissas!$B$10&gt;1,A367&lt;Premissas!$B$9),B367*Premissas!$B$10,B367)</f>
        <v/>
      </c>
      <c r="D367" s="12" t="n"/>
      <c r="E367" s="10">
        <f>Precos!J367</f>
        <v/>
      </c>
      <c r="F367" s="12" t="n"/>
    </row>
    <row r="368">
      <c r="A368" s="9">
        <f>Precos!A368</f>
        <v/>
      </c>
      <c r="B368" s="10">
        <f>INDEX(Precos!$B368:$I368,MATCH(Premissas!$B$8,Precos!$B$3:$I$3,0))</f>
        <v/>
      </c>
      <c r="C368" s="10">
        <f>IF(AND(Premissas!$B$10&gt;1,A368&lt;Premissas!$B$9),B368*Premissas!$B$10,B368)</f>
        <v/>
      </c>
      <c r="D368" s="12" t="n"/>
      <c r="E368" s="10">
        <f>Precos!J368</f>
        <v/>
      </c>
      <c r="F368" s="12" t="n"/>
    </row>
    <row r="369">
      <c r="A369" s="9">
        <f>Precos!A369</f>
        <v/>
      </c>
      <c r="B369" s="10">
        <f>INDEX(Precos!$B369:$I369,MATCH(Premissas!$B$8,Precos!$B$3:$I$3,0))</f>
        <v/>
      </c>
      <c r="C369" s="10">
        <f>IF(AND(Premissas!$B$10&gt;1,A369&lt;Premissas!$B$9),B369*Premissas!$B$10,B369)</f>
        <v/>
      </c>
      <c r="D369" s="12" t="n"/>
      <c r="E369" s="10">
        <f>Precos!J369</f>
        <v/>
      </c>
      <c r="F369" s="12" t="n"/>
    </row>
    <row r="370">
      <c r="A370" s="9">
        <f>Precos!A370</f>
        <v/>
      </c>
      <c r="B370" s="10">
        <f>INDEX(Precos!$B370:$I370,MATCH(Premissas!$B$8,Precos!$B$3:$I$3,0))</f>
        <v/>
      </c>
      <c r="C370" s="10">
        <f>IF(AND(Premissas!$B$10&gt;1,A370&lt;Premissas!$B$9),B370*Premissas!$B$10,B370)</f>
        <v/>
      </c>
      <c r="D370" s="12" t="n"/>
      <c r="E370" s="10">
        <f>Precos!J370</f>
        <v/>
      </c>
      <c r="F370" s="12" t="n"/>
    </row>
    <row r="371">
      <c r="A371" s="9">
        <f>Precos!A371</f>
        <v/>
      </c>
      <c r="B371" s="10">
        <f>INDEX(Precos!$B371:$I371,MATCH(Premissas!$B$8,Precos!$B$3:$I$3,0))</f>
        <v/>
      </c>
      <c r="C371" s="10">
        <f>IF(AND(Premissas!$B$10&gt;1,A371&lt;Premissas!$B$9),B371*Premissas!$B$10,B371)</f>
        <v/>
      </c>
      <c r="D371" s="12" t="n"/>
      <c r="E371" s="10">
        <f>Precos!J371</f>
        <v/>
      </c>
      <c r="F371" s="12" t="n"/>
    </row>
    <row r="372">
      <c r="A372" s="9">
        <f>Precos!A372</f>
        <v/>
      </c>
      <c r="B372" s="10">
        <f>INDEX(Precos!$B372:$I372,MATCH(Premissas!$B$8,Precos!$B$3:$I$3,0))</f>
        <v/>
      </c>
      <c r="C372" s="10">
        <f>IF(AND(Premissas!$B$10&gt;1,A372&lt;Premissas!$B$9),B372*Premissas!$B$10,B372)</f>
        <v/>
      </c>
      <c r="D372" s="12" t="n"/>
      <c r="E372" s="10">
        <f>Precos!J372</f>
        <v/>
      </c>
      <c r="F372" s="12" t="n"/>
    </row>
    <row r="373">
      <c r="A373" s="9">
        <f>Precos!A373</f>
        <v/>
      </c>
      <c r="B373" s="10">
        <f>INDEX(Precos!$B373:$I373,MATCH(Premissas!$B$8,Precos!$B$3:$I$3,0))</f>
        <v/>
      </c>
      <c r="C373" s="10">
        <f>IF(AND(Premissas!$B$10&gt;1,A373&lt;Premissas!$B$9),B373*Premissas!$B$10,B373)</f>
        <v/>
      </c>
      <c r="D373" s="12" t="n"/>
      <c r="E373" s="10">
        <f>Precos!J373</f>
        <v/>
      </c>
      <c r="F373" s="12" t="n"/>
    </row>
    <row r="374">
      <c r="A374" s="9">
        <f>Precos!A374</f>
        <v/>
      </c>
      <c r="B374" s="10">
        <f>INDEX(Precos!$B374:$I374,MATCH(Premissas!$B$8,Precos!$B$3:$I$3,0))</f>
        <v/>
      </c>
      <c r="C374" s="10">
        <f>IF(AND(Premissas!$B$10&gt;1,A374&lt;Premissas!$B$9),B374*Premissas!$B$10,B374)</f>
        <v/>
      </c>
      <c r="D374" s="12" t="n"/>
      <c r="E374" s="10">
        <f>Precos!J374</f>
        <v/>
      </c>
      <c r="F374" s="12" t="n"/>
    </row>
    <row r="375">
      <c r="A375" s="9">
        <f>Precos!A375</f>
        <v/>
      </c>
      <c r="B375" s="10">
        <f>INDEX(Precos!$B375:$I375,MATCH(Premissas!$B$8,Precos!$B$3:$I$3,0))</f>
        <v/>
      </c>
      <c r="C375" s="10">
        <f>IF(AND(Premissas!$B$10&gt;1,A375&lt;Premissas!$B$9),B375*Premissas!$B$10,B375)</f>
        <v/>
      </c>
      <c r="D375" s="12" t="n"/>
      <c r="E375" s="10">
        <f>Precos!J375</f>
        <v/>
      </c>
      <c r="F375" s="12" t="n"/>
    </row>
    <row r="376">
      <c r="A376" s="9">
        <f>Precos!A376</f>
        <v/>
      </c>
      <c r="B376" s="10">
        <f>INDEX(Precos!$B376:$I376,MATCH(Premissas!$B$8,Precos!$B$3:$I$3,0))</f>
        <v/>
      </c>
      <c r="C376" s="10">
        <f>IF(AND(Premissas!$B$10&gt;1,A376&lt;Premissas!$B$9),B376*Premissas!$B$10,B376)</f>
        <v/>
      </c>
      <c r="D376" s="12" t="n"/>
      <c r="E376" s="10">
        <f>Precos!J376</f>
        <v/>
      </c>
      <c r="F376" s="12" t="n"/>
    </row>
    <row r="377">
      <c r="A377" s="9">
        <f>Precos!A377</f>
        <v/>
      </c>
      <c r="B377" s="10">
        <f>INDEX(Precos!$B377:$I377,MATCH(Premissas!$B$8,Precos!$B$3:$I$3,0))</f>
        <v/>
      </c>
      <c r="C377" s="10">
        <f>IF(AND(Premissas!$B$10&gt;1,A377&lt;Premissas!$B$9),B377*Premissas!$B$10,B377)</f>
        <v/>
      </c>
      <c r="D377" s="12" t="n"/>
      <c r="E377" s="10">
        <f>Precos!J377</f>
        <v/>
      </c>
      <c r="F377" s="12" t="n"/>
    </row>
    <row r="378">
      <c r="A378" s="9">
        <f>Precos!A378</f>
        <v/>
      </c>
      <c r="B378" s="10">
        <f>INDEX(Precos!$B378:$I378,MATCH(Premissas!$B$8,Precos!$B$3:$I$3,0))</f>
        <v/>
      </c>
      <c r="C378" s="10">
        <f>IF(AND(Premissas!$B$10&gt;1,A378&lt;Premissas!$B$9),B378*Premissas!$B$10,B378)</f>
        <v/>
      </c>
      <c r="D378" s="12" t="n"/>
      <c r="E378" s="10">
        <f>Precos!J378</f>
        <v/>
      </c>
      <c r="F378" s="12" t="n"/>
    </row>
    <row r="379">
      <c r="A379" s="9">
        <f>Precos!A379</f>
        <v/>
      </c>
      <c r="B379" s="10">
        <f>INDEX(Precos!$B379:$I379,MATCH(Premissas!$B$8,Precos!$B$3:$I$3,0))</f>
        <v/>
      </c>
      <c r="C379" s="10">
        <f>IF(AND(Premissas!$B$10&gt;1,A379&lt;Premissas!$B$9),B379*Premissas!$B$10,B379)</f>
        <v/>
      </c>
      <c r="D379" s="12" t="n"/>
      <c r="E379" s="10">
        <f>Precos!J379</f>
        <v/>
      </c>
      <c r="F379" s="12" t="n"/>
    </row>
    <row r="380">
      <c r="A380" s="9">
        <f>Precos!A380</f>
        <v/>
      </c>
      <c r="B380" s="10">
        <f>INDEX(Precos!$B380:$I380,MATCH(Premissas!$B$8,Precos!$B$3:$I$3,0))</f>
        <v/>
      </c>
      <c r="C380" s="10">
        <f>IF(AND(Premissas!$B$10&gt;1,A380&lt;Premissas!$B$9),B380*Premissas!$B$10,B380)</f>
        <v/>
      </c>
      <c r="D380" s="12" t="n"/>
      <c r="E380" s="10">
        <f>Precos!J380</f>
        <v/>
      </c>
      <c r="F380" s="12" t="n"/>
    </row>
    <row r="381">
      <c r="A381" s="9">
        <f>Precos!A381</f>
        <v/>
      </c>
      <c r="B381" s="10">
        <f>INDEX(Precos!$B381:$I381,MATCH(Premissas!$B$8,Precos!$B$3:$I$3,0))</f>
        <v/>
      </c>
      <c r="C381" s="10">
        <f>IF(AND(Premissas!$B$10&gt;1,A381&lt;Premissas!$B$9),B381*Premissas!$B$10,B381)</f>
        <v/>
      </c>
      <c r="D381" s="12" t="n"/>
      <c r="E381" s="10">
        <f>Precos!J381</f>
        <v/>
      </c>
      <c r="F381" s="12" t="n"/>
    </row>
    <row r="382">
      <c r="A382" s="9">
        <f>Precos!A382</f>
        <v/>
      </c>
      <c r="B382" s="10">
        <f>INDEX(Precos!$B382:$I382,MATCH(Premissas!$B$8,Precos!$B$3:$I$3,0))</f>
        <v/>
      </c>
      <c r="C382" s="10">
        <f>IF(AND(Premissas!$B$10&gt;1,A382&lt;Premissas!$B$9),B382*Premissas!$B$10,B382)</f>
        <v/>
      </c>
      <c r="D382" s="12" t="n"/>
      <c r="E382" s="10">
        <f>Precos!J382</f>
        <v/>
      </c>
      <c r="F382" s="12" t="n"/>
    </row>
    <row r="383">
      <c r="A383" s="9">
        <f>Precos!A383</f>
        <v/>
      </c>
      <c r="B383" s="10">
        <f>INDEX(Precos!$B383:$I383,MATCH(Premissas!$B$8,Precos!$B$3:$I$3,0))</f>
        <v/>
      </c>
      <c r="C383" s="10">
        <f>IF(AND(Premissas!$B$10&gt;1,A383&lt;Premissas!$B$9),B383*Premissas!$B$10,B383)</f>
        <v/>
      </c>
      <c r="D383" s="12" t="n"/>
      <c r="E383" s="10">
        <f>Precos!J383</f>
        <v/>
      </c>
      <c r="F383" s="12" t="n"/>
    </row>
    <row r="384">
      <c r="A384" s="9">
        <f>Precos!A384</f>
        <v/>
      </c>
      <c r="B384" s="10">
        <f>INDEX(Precos!$B384:$I384,MATCH(Premissas!$B$8,Precos!$B$3:$I$3,0))</f>
        <v/>
      </c>
      <c r="C384" s="10">
        <f>IF(AND(Premissas!$B$10&gt;1,A384&lt;Premissas!$B$9),B384*Premissas!$B$10,B384)</f>
        <v/>
      </c>
      <c r="D384" s="12" t="n"/>
      <c r="E384" s="10">
        <f>Precos!J384</f>
        <v/>
      </c>
      <c r="F384" s="12" t="n"/>
    </row>
    <row r="385">
      <c r="A385" s="9">
        <f>Precos!A385</f>
        <v/>
      </c>
      <c r="B385" s="10">
        <f>INDEX(Precos!$B385:$I385,MATCH(Premissas!$B$8,Precos!$B$3:$I$3,0))</f>
        <v/>
      </c>
      <c r="C385" s="10">
        <f>IF(AND(Premissas!$B$10&gt;1,A385&lt;Premissas!$B$9),B385*Premissas!$B$10,B385)</f>
        <v/>
      </c>
      <c r="D385" s="12" t="n"/>
      <c r="E385" s="10">
        <f>Precos!J385</f>
        <v/>
      </c>
      <c r="F385" s="12" t="n"/>
    </row>
    <row r="386">
      <c r="A386" s="9">
        <f>Precos!A386</f>
        <v/>
      </c>
      <c r="B386" s="10">
        <f>INDEX(Precos!$B386:$I386,MATCH(Premissas!$B$8,Precos!$B$3:$I$3,0))</f>
        <v/>
      </c>
      <c r="C386" s="10">
        <f>IF(AND(Premissas!$B$10&gt;1,A386&lt;Premissas!$B$9),B386*Premissas!$B$10,B386)</f>
        <v/>
      </c>
      <c r="D386" s="12" t="n"/>
      <c r="E386" s="10">
        <f>Precos!J386</f>
        <v/>
      </c>
      <c r="F386" s="12" t="n"/>
    </row>
    <row r="387">
      <c r="A387" s="9">
        <f>Precos!A387</f>
        <v/>
      </c>
      <c r="B387" s="10">
        <f>INDEX(Precos!$B387:$I387,MATCH(Premissas!$B$8,Precos!$B$3:$I$3,0))</f>
        <v/>
      </c>
      <c r="C387" s="10">
        <f>IF(AND(Premissas!$B$10&gt;1,A387&lt;Premissas!$B$9),B387*Premissas!$B$10,B387)</f>
        <v/>
      </c>
      <c r="D387" s="12" t="n"/>
      <c r="E387" s="10">
        <f>Precos!J387</f>
        <v/>
      </c>
      <c r="F387" s="12" t="n"/>
    </row>
    <row r="388">
      <c r="A388" s="9">
        <f>Precos!A388</f>
        <v/>
      </c>
      <c r="B388" s="10">
        <f>INDEX(Precos!$B388:$I388,MATCH(Premissas!$B$8,Precos!$B$3:$I$3,0))</f>
        <v/>
      </c>
      <c r="C388" s="10">
        <f>IF(AND(Premissas!$B$10&gt;1,A388&lt;Premissas!$B$9),B388*Premissas!$B$10,B388)</f>
        <v/>
      </c>
      <c r="D388" s="12" t="n"/>
      <c r="E388" s="10">
        <f>Precos!J388</f>
        <v/>
      </c>
      <c r="F388" s="12" t="n"/>
    </row>
    <row r="389">
      <c r="A389" s="9">
        <f>Precos!A389</f>
        <v/>
      </c>
      <c r="B389" s="10">
        <f>INDEX(Precos!$B389:$I389,MATCH(Premissas!$B$8,Precos!$B$3:$I$3,0))</f>
        <v/>
      </c>
      <c r="C389" s="10">
        <f>IF(AND(Premissas!$B$10&gt;1,A389&lt;Premissas!$B$9),B389*Premissas!$B$10,B389)</f>
        <v/>
      </c>
      <c r="D389" s="12" t="n"/>
      <c r="E389" s="10">
        <f>Precos!J389</f>
        <v/>
      </c>
      <c r="F389" s="12" t="n"/>
    </row>
    <row r="390">
      <c r="A390" s="9">
        <f>Precos!A390</f>
        <v/>
      </c>
      <c r="B390" s="10">
        <f>INDEX(Precos!$B390:$I390,MATCH(Premissas!$B$8,Precos!$B$3:$I$3,0))</f>
        <v/>
      </c>
      <c r="C390" s="10">
        <f>IF(AND(Premissas!$B$10&gt;1,A390&lt;Premissas!$B$9),B390*Premissas!$B$10,B390)</f>
        <v/>
      </c>
      <c r="D390" s="12" t="n"/>
      <c r="E390" s="10">
        <f>Precos!J390</f>
        <v/>
      </c>
      <c r="F390" s="12" t="n"/>
    </row>
    <row r="391">
      <c r="A391" s="9">
        <f>Precos!A391</f>
        <v/>
      </c>
      <c r="B391" s="10">
        <f>INDEX(Precos!$B391:$I391,MATCH(Premissas!$B$8,Precos!$B$3:$I$3,0))</f>
        <v/>
      </c>
      <c r="C391" s="10">
        <f>IF(AND(Premissas!$B$10&gt;1,A391&lt;Premissas!$B$9),B391*Premissas!$B$10,B391)</f>
        <v/>
      </c>
      <c r="D391" s="12" t="n"/>
      <c r="E391" s="10">
        <f>Precos!J391</f>
        <v/>
      </c>
      <c r="F391" s="12" t="n"/>
    </row>
    <row r="392">
      <c r="A392" s="9">
        <f>Precos!A392</f>
        <v/>
      </c>
      <c r="B392" s="10">
        <f>INDEX(Precos!$B392:$I392,MATCH(Premissas!$B$8,Precos!$B$3:$I$3,0))</f>
        <v/>
      </c>
      <c r="C392" s="10">
        <f>IF(AND(Premissas!$B$10&gt;1,A392&lt;Premissas!$B$9),B392*Premissas!$B$10,B392)</f>
        <v/>
      </c>
      <c r="D392" s="12" t="n"/>
      <c r="E392" s="10">
        <f>Precos!J392</f>
        <v/>
      </c>
      <c r="F392" s="12" t="n"/>
    </row>
    <row r="393">
      <c r="A393" s="9">
        <f>Precos!A393</f>
        <v/>
      </c>
      <c r="B393" s="10">
        <f>INDEX(Precos!$B393:$I393,MATCH(Premissas!$B$8,Precos!$B$3:$I$3,0))</f>
        <v/>
      </c>
      <c r="C393" s="10">
        <f>IF(AND(Premissas!$B$10&gt;1,A393&lt;Premissas!$B$9),B393*Premissas!$B$10,B393)</f>
        <v/>
      </c>
      <c r="D393" s="12" t="n"/>
      <c r="E393" s="10">
        <f>Precos!J393</f>
        <v/>
      </c>
      <c r="F393" s="12" t="n"/>
    </row>
    <row r="394">
      <c r="A394" s="9">
        <f>Precos!A394</f>
        <v/>
      </c>
      <c r="B394" s="10">
        <f>INDEX(Precos!$B394:$I394,MATCH(Premissas!$B$8,Precos!$B$3:$I$3,0))</f>
        <v/>
      </c>
      <c r="C394" s="10">
        <f>IF(AND(Premissas!$B$10&gt;1,A394&lt;Premissas!$B$9),B394*Premissas!$B$10,B394)</f>
        <v/>
      </c>
      <c r="D394" s="12" t="n"/>
      <c r="E394" s="10">
        <f>Precos!J394</f>
        <v/>
      </c>
      <c r="F394" s="12" t="n"/>
    </row>
    <row r="395">
      <c r="A395" s="9">
        <f>Precos!A395</f>
        <v/>
      </c>
      <c r="B395" s="10">
        <f>INDEX(Precos!$B395:$I395,MATCH(Premissas!$B$8,Precos!$B$3:$I$3,0))</f>
        <v/>
      </c>
      <c r="C395" s="10">
        <f>IF(AND(Premissas!$B$10&gt;1,A395&lt;Premissas!$B$9),B395*Premissas!$B$10,B395)</f>
        <v/>
      </c>
      <c r="D395" s="12" t="n"/>
      <c r="E395" s="10">
        <f>Precos!J395</f>
        <v/>
      </c>
      <c r="F395" s="12" t="n"/>
    </row>
    <row r="396">
      <c r="A396" s="9">
        <f>Precos!A396</f>
        <v/>
      </c>
      <c r="B396" s="10">
        <f>INDEX(Precos!$B396:$I396,MATCH(Premissas!$B$8,Precos!$B$3:$I$3,0))</f>
        <v/>
      </c>
      <c r="C396" s="10">
        <f>IF(AND(Premissas!$B$10&gt;1,A396&lt;Premissas!$B$9),B396*Premissas!$B$10,B396)</f>
        <v/>
      </c>
      <c r="D396" s="12" t="n"/>
      <c r="E396" s="10">
        <f>Precos!J396</f>
        <v/>
      </c>
      <c r="F396" s="12" t="n"/>
    </row>
    <row r="397">
      <c r="A397" s="9">
        <f>Precos!A397</f>
        <v/>
      </c>
      <c r="B397" s="10">
        <f>INDEX(Precos!$B397:$I397,MATCH(Premissas!$B$8,Precos!$B$3:$I$3,0))</f>
        <v/>
      </c>
      <c r="C397" s="10">
        <f>IF(AND(Premissas!$B$10&gt;1,A397&lt;Premissas!$B$9),B397*Premissas!$B$10,B397)</f>
        <v/>
      </c>
      <c r="D397" s="12" t="n"/>
      <c r="E397" s="10">
        <f>Precos!J397</f>
        <v/>
      </c>
      <c r="F397" s="12" t="n"/>
    </row>
    <row r="398">
      <c r="A398" s="9">
        <f>Precos!A398</f>
        <v/>
      </c>
      <c r="B398" s="10">
        <f>INDEX(Precos!$B398:$I398,MATCH(Premissas!$B$8,Precos!$B$3:$I$3,0))</f>
        <v/>
      </c>
      <c r="C398" s="10">
        <f>IF(AND(Premissas!$B$10&gt;1,A398&lt;Premissas!$B$9),B398*Premissas!$B$10,B398)</f>
        <v/>
      </c>
      <c r="D398" s="12" t="n"/>
      <c r="E398" s="10">
        <f>Precos!J398</f>
        <v/>
      </c>
      <c r="F398" s="12" t="n"/>
    </row>
    <row r="399">
      <c r="A399" s="9">
        <f>Precos!A399</f>
        <v/>
      </c>
      <c r="B399" s="10">
        <f>INDEX(Precos!$B399:$I399,MATCH(Premissas!$B$8,Precos!$B$3:$I$3,0))</f>
        <v/>
      </c>
      <c r="C399" s="10">
        <f>IF(AND(Premissas!$B$10&gt;1,A399&lt;Premissas!$B$9),B399*Premissas!$B$10,B399)</f>
        <v/>
      </c>
      <c r="D399" s="12" t="n"/>
      <c r="E399" s="10">
        <f>Precos!J399</f>
        <v/>
      </c>
      <c r="F399" s="12" t="n"/>
    </row>
    <row r="400">
      <c r="A400" s="9">
        <f>Precos!A400</f>
        <v/>
      </c>
      <c r="B400" s="10">
        <f>INDEX(Precos!$B400:$I400,MATCH(Premissas!$B$8,Precos!$B$3:$I$3,0))</f>
        <v/>
      </c>
      <c r="C400" s="10">
        <f>IF(AND(Premissas!$B$10&gt;1,A400&lt;Premissas!$B$9),B400*Premissas!$B$10,B400)</f>
        <v/>
      </c>
      <c r="D400" s="12" t="n"/>
      <c r="E400" s="10">
        <f>Precos!J400</f>
        <v/>
      </c>
      <c r="F400" s="12" t="n"/>
    </row>
    <row r="401">
      <c r="A401" s="9">
        <f>Precos!A401</f>
        <v/>
      </c>
      <c r="B401" s="10">
        <f>INDEX(Precos!$B401:$I401,MATCH(Premissas!$B$8,Precos!$B$3:$I$3,0))</f>
        <v/>
      </c>
      <c r="C401" s="10">
        <f>IF(AND(Premissas!$B$10&gt;1,A401&lt;Premissas!$B$9),B401*Premissas!$B$10,B401)</f>
        <v/>
      </c>
      <c r="D401" s="12" t="n"/>
      <c r="E401" s="10">
        <f>Precos!J401</f>
        <v/>
      </c>
      <c r="F401" s="12" t="n"/>
    </row>
    <row r="402">
      <c r="A402" s="9">
        <f>Precos!A402</f>
        <v/>
      </c>
      <c r="B402" s="10">
        <f>INDEX(Precos!$B402:$I402,MATCH(Premissas!$B$8,Precos!$B$3:$I$3,0))</f>
        <v/>
      </c>
      <c r="C402" s="10">
        <f>IF(AND(Premissas!$B$10&gt;1,A402&lt;Premissas!$B$9),B402*Premissas!$B$10,B402)</f>
        <v/>
      </c>
      <c r="D402" s="12" t="n"/>
      <c r="E402" s="10">
        <f>Precos!J402</f>
        <v/>
      </c>
      <c r="F402" s="12" t="n"/>
    </row>
    <row r="403">
      <c r="A403" s="9">
        <f>Precos!A403</f>
        <v/>
      </c>
      <c r="B403" s="10">
        <f>INDEX(Precos!$B403:$I403,MATCH(Premissas!$B$8,Precos!$B$3:$I$3,0))</f>
        <v/>
      </c>
      <c r="C403" s="10">
        <f>IF(AND(Premissas!$B$10&gt;1,A403&lt;Premissas!$B$9),B403*Premissas!$B$10,B403)</f>
        <v/>
      </c>
      <c r="D403" s="12" t="n"/>
      <c r="E403" s="10">
        <f>Precos!J403</f>
        <v/>
      </c>
      <c r="F403" s="12" t="n"/>
    </row>
    <row r="404">
      <c r="A404" s="9">
        <f>Precos!A404</f>
        <v/>
      </c>
      <c r="B404" s="10">
        <f>INDEX(Precos!$B404:$I404,MATCH(Premissas!$B$8,Precos!$B$3:$I$3,0))</f>
        <v/>
      </c>
      <c r="C404" s="10">
        <f>IF(AND(Premissas!$B$10&gt;1,A404&lt;Premissas!$B$9),B404*Premissas!$B$10,B404)</f>
        <v/>
      </c>
      <c r="D404" s="12" t="n"/>
      <c r="E404" s="10">
        <f>Precos!J404</f>
        <v/>
      </c>
      <c r="F404" s="12" t="n"/>
    </row>
    <row r="405">
      <c r="A405" s="9">
        <f>Precos!A405</f>
        <v/>
      </c>
      <c r="B405" s="10">
        <f>INDEX(Precos!$B405:$I405,MATCH(Premissas!$B$8,Precos!$B$3:$I$3,0))</f>
        <v/>
      </c>
      <c r="C405" s="10">
        <f>IF(AND(Premissas!$B$10&gt;1,A405&lt;Premissas!$B$9),B405*Premissas!$B$10,B405)</f>
        <v/>
      </c>
      <c r="D405" s="12" t="n"/>
      <c r="E405" s="10">
        <f>Precos!J405</f>
        <v/>
      </c>
      <c r="F405" s="12" t="n"/>
    </row>
    <row r="406">
      <c r="A406" s="9">
        <f>Precos!A406</f>
        <v/>
      </c>
      <c r="B406" s="10">
        <f>INDEX(Precos!$B406:$I406,MATCH(Premissas!$B$8,Precos!$B$3:$I$3,0))</f>
        <v/>
      </c>
      <c r="C406" s="10">
        <f>IF(AND(Premissas!$B$10&gt;1,A406&lt;Premissas!$B$9),B406*Premissas!$B$10,B406)</f>
        <v/>
      </c>
      <c r="D406" s="12" t="n"/>
      <c r="E406" s="10">
        <f>Precos!J406</f>
        <v/>
      </c>
      <c r="F406" s="12" t="n"/>
    </row>
    <row r="407">
      <c r="A407" s="9">
        <f>Precos!A407</f>
        <v/>
      </c>
      <c r="B407" s="10">
        <f>INDEX(Precos!$B407:$I407,MATCH(Premissas!$B$8,Precos!$B$3:$I$3,0))</f>
        <v/>
      </c>
      <c r="C407" s="10">
        <f>IF(AND(Premissas!$B$10&gt;1,A407&lt;Premissas!$B$9),B407*Premissas!$B$10,B407)</f>
        <v/>
      </c>
      <c r="D407" s="12" t="n"/>
      <c r="E407" s="10">
        <f>Precos!J407</f>
        <v/>
      </c>
      <c r="F407" s="12" t="n"/>
    </row>
    <row r="408">
      <c r="A408" s="9">
        <f>Precos!A408</f>
        <v/>
      </c>
      <c r="B408" s="10">
        <f>INDEX(Precos!$B408:$I408,MATCH(Premissas!$B$8,Precos!$B$3:$I$3,0))</f>
        <v/>
      </c>
      <c r="C408" s="10">
        <f>IF(AND(Premissas!$B$10&gt;1,A408&lt;Premissas!$B$9),B408*Premissas!$B$10,B408)</f>
        <v/>
      </c>
      <c r="D408" s="12" t="n"/>
      <c r="E408" s="10">
        <f>Precos!J408</f>
        <v/>
      </c>
      <c r="F408" s="12" t="n"/>
    </row>
    <row r="409">
      <c r="A409" s="9">
        <f>Precos!A409</f>
        <v/>
      </c>
      <c r="B409" s="10">
        <f>INDEX(Precos!$B409:$I409,MATCH(Premissas!$B$8,Precos!$B$3:$I$3,0))</f>
        <v/>
      </c>
      <c r="C409" s="10">
        <f>IF(AND(Premissas!$B$10&gt;1,A409&lt;Premissas!$B$9),B409*Premissas!$B$10,B409)</f>
        <v/>
      </c>
      <c r="D409" s="12" t="n"/>
      <c r="E409" s="10">
        <f>Precos!J409</f>
        <v/>
      </c>
      <c r="F409" s="12" t="n"/>
    </row>
    <row r="410">
      <c r="A410" s="9">
        <f>Precos!A410</f>
        <v/>
      </c>
      <c r="B410" s="10">
        <f>INDEX(Precos!$B410:$I410,MATCH(Premissas!$B$8,Precos!$B$3:$I$3,0))</f>
        <v/>
      </c>
      <c r="C410" s="10">
        <f>IF(AND(Premissas!$B$10&gt;1,A410&lt;Premissas!$B$9),B410*Premissas!$B$10,B410)</f>
        <v/>
      </c>
      <c r="D410" s="12" t="n"/>
      <c r="E410" s="10">
        <f>Precos!J410</f>
        <v/>
      </c>
      <c r="F410" s="12" t="n"/>
    </row>
    <row r="411">
      <c r="A411" s="9">
        <f>Precos!A411</f>
        <v/>
      </c>
      <c r="B411" s="10">
        <f>INDEX(Precos!$B411:$I411,MATCH(Premissas!$B$8,Precos!$B$3:$I$3,0))</f>
        <v/>
      </c>
      <c r="C411" s="10">
        <f>IF(AND(Premissas!$B$10&gt;1,A411&lt;Premissas!$B$9),B411*Premissas!$B$10,B411)</f>
        <v/>
      </c>
      <c r="D411" s="12" t="n"/>
      <c r="E411" s="10">
        <f>Precos!J411</f>
        <v/>
      </c>
      <c r="F411" s="12" t="n"/>
    </row>
    <row r="412">
      <c r="A412" s="9">
        <f>Precos!A412</f>
        <v/>
      </c>
      <c r="B412" s="10">
        <f>INDEX(Precos!$B412:$I412,MATCH(Premissas!$B$8,Precos!$B$3:$I$3,0))</f>
        <v/>
      </c>
      <c r="C412" s="10">
        <f>IF(AND(Premissas!$B$10&gt;1,A412&lt;Premissas!$B$9),B412*Premissas!$B$10,B412)</f>
        <v/>
      </c>
      <c r="D412" s="12" t="n"/>
      <c r="E412" s="10">
        <f>Precos!J412</f>
        <v/>
      </c>
      <c r="F412" s="12" t="n"/>
    </row>
    <row r="413">
      <c r="A413" s="9">
        <f>Precos!A413</f>
        <v/>
      </c>
      <c r="B413" s="10">
        <f>INDEX(Precos!$B413:$I413,MATCH(Premissas!$B$8,Precos!$B$3:$I$3,0))</f>
        <v/>
      </c>
      <c r="C413" s="10">
        <f>IF(AND(Premissas!$B$10&gt;1,A413&lt;Premissas!$B$9),B413*Premissas!$B$10,B413)</f>
        <v/>
      </c>
      <c r="D413" s="12" t="n"/>
      <c r="E413" s="10">
        <f>Precos!J413</f>
        <v/>
      </c>
      <c r="F413" s="12" t="n"/>
    </row>
    <row r="414">
      <c r="A414" s="9">
        <f>Precos!A414</f>
        <v/>
      </c>
      <c r="B414" s="10">
        <f>INDEX(Precos!$B414:$I414,MATCH(Premissas!$B$8,Precos!$B$3:$I$3,0))</f>
        <v/>
      </c>
      <c r="C414" s="10">
        <f>IF(AND(Premissas!$B$10&gt;1,A414&lt;Premissas!$B$9),B414*Premissas!$B$10,B414)</f>
        <v/>
      </c>
      <c r="D414" s="12" t="n"/>
      <c r="E414" s="10">
        <f>Precos!J414</f>
        <v/>
      </c>
      <c r="F414" s="12" t="n"/>
    </row>
    <row r="415">
      <c r="A415" s="9">
        <f>Precos!A415</f>
        <v/>
      </c>
      <c r="B415" s="10">
        <f>INDEX(Precos!$B415:$I415,MATCH(Premissas!$B$8,Precos!$B$3:$I$3,0))</f>
        <v/>
      </c>
      <c r="C415" s="10">
        <f>IF(AND(Premissas!$B$10&gt;1,A415&lt;Premissas!$B$9),B415*Premissas!$B$10,B415)</f>
        <v/>
      </c>
      <c r="D415" s="12" t="n"/>
      <c r="E415" s="10">
        <f>Precos!J415</f>
        <v/>
      </c>
      <c r="F415" s="12" t="n"/>
    </row>
    <row r="416">
      <c r="A416" s="9">
        <f>Precos!A416</f>
        <v/>
      </c>
      <c r="B416" s="10">
        <f>INDEX(Precos!$B416:$I416,MATCH(Premissas!$B$8,Precos!$B$3:$I$3,0))</f>
        <v/>
      </c>
      <c r="C416" s="10">
        <f>IF(AND(Premissas!$B$10&gt;1,A416&lt;Premissas!$B$9),B416*Premissas!$B$10,B416)</f>
        <v/>
      </c>
      <c r="D416" s="12" t="n"/>
      <c r="E416" s="10">
        <f>Precos!J416</f>
        <v/>
      </c>
      <c r="F416" s="12" t="n"/>
    </row>
    <row r="417">
      <c r="A417" s="9">
        <f>Precos!A417</f>
        <v/>
      </c>
      <c r="B417" s="10">
        <f>INDEX(Precos!$B417:$I417,MATCH(Premissas!$B$8,Precos!$B$3:$I$3,0))</f>
        <v/>
      </c>
      <c r="C417" s="10">
        <f>IF(AND(Premissas!$B$10&gt;1,A417&lt;Premissas!$B$9),B417*Premissas!$B$10,B417)</f>
        <v/>
      </c>
      <c r="D417" s="12" t="n"/>
      <c r="E417" s="10">
        <f>Precos!J417</f>
        <v/>
      </c>
      <c r="F417" s="12" t="n"/>
    </row>
    <row r="418">
      <c r="A418" s="9">
        <f>Precos!A418</f>
        <v/>
      </c>
      <c r="B418" s="10">
        <f>INDEX(Precos!$B418:$I418,MATCH(Premissas!$B$8,Precos!$B$3:$I$3,0))</f>
        <v/>
      </c>
      <c r="C418" s="10">
        <f>IF(AND(Premissas!$B$10&gt;1,A418&lt;Premissas!$B$9),B418*Premissas!$B$10,B418)</f>
        <v/>
      </c>
      <c r="D418" s="12" t="n"/>
      <c r="E418" s="10">
        <f>Precos!J418</f>
        <v/>
      </c>
      <c r="F418" s="12" t="n"/>
    </row>
    <row r="419">
      <c r="A419" s="9">
        <f>Precos!A419</f>
        <v/>
      </c>
      <c r="B419" s="10">
        <f>INDEX(Precos!$B419:$I419,MATCH(Premissas!$B$8,Precos!$B$3:$I$3,0))</f>
        <v/>
      </c>
      <c r="C419" s="10">
        <f>IF(AND(Premissas!$B$10&gt;1,A419&lt;Premissas!$B$9),B419*Premissas!$B$10,B419)</f>
        <v/>
      </c>
      <c r="D419" s="12" t="n"/>
      <c r="E419" s="10">
        <f>Precos!J419</f>
        <v/>
      </c>
      <c r="F419" s="12" t="n"/>
    </row>
    <row r="420">
      <c r="A420" s="9">
        <f>Precos!A420</f>
        <v/>
      </c>
      <c r="B420" s="10">
        <f>INDEX(Precos!$B420:$I420,MATCH(Premissas!$B$8,Precos!$B$3:$I$3,0))</f>
        <v/>
      </c>
      <c r="C420" s="10">
        <f>IF(AND(Premissas!$B$10&gt;1,A420&lt;Premissas!$B$9),B420*Premissas!$B$10,B420)</f>
        <v/>
      </c>
      <c r="D420" s="12" t="n"/>
      <c r="E420" s="10">
        <f>Precos!J420</f>
        <v/>
      </c>
      <c r="F420" s="12" t="n"/>
    </row>
    <row r="421">
      <c r="A421" s="9">
        <f>Precos!A421</f>
        <v/>
      </c>
      <c r="B421" s="10">
        <f>INDEX(Precos!$B421:$I421,MATCH(Premissas!$B$8,Precos!$B$3:$I$3,0))</f>
        <v/>
      </c>
      <c r="C421" s="10">
        <f>IF(AND(Premissas!$B$10&gt;1,A421&lt;Premissas!$B$9),B421*Premissas!$B$10,B421)</f>
        <v/>
      </c>
      <c r="D421" s="12" t="n"/>
      <c r="E421" s="10">
        <f>Precos!J421</f>
        <v/>
      </c>
      <c r="F421" s="12" t="n"/>
    </row>
    <row r="422">
      <c r="A422" s="9">
        <f>Precos!A422</f>
        <v/>
      </c>
      <c r="B422" s="10">
        <f>INDEX(Precos!$B422:$I422,MATCH(Premissas!$B$8,Precos!$B$3:$I$3,0))</f>
        <v/>
      </c>
      <c r="C422" s="10">
        <f>IF(AND(Premissas!$B$10&gt;1,A422&lt;Premissas!$B$9),B422*Premissas!$B$10,B422)</f>
        <v/>
      </c>
      <c r="D422" s="12" t="n"/>
      <c r="E422" s="10">
        <f>Precos!J422</f>
        <v/>
      </c>
      <c r="F422" s="12" t="n"/>
    </row>
    <row r="423">
      <c r="A423" s="9">
        <f>Precos!A423</f>
        <v/>
      </c>
      <c r="B423" s="10">
        <f>INDEX(Precos!$B423:$I423,MATCH(Premissas!$B$8,Precos!$B$3:$I$3,0))</f>
        <v/>
      </c>
      <c r="C423" s="10">
        <f>IF(AND(Premissas!$B$10&gt;1,A423&lt;Premissas!$B$9),B423*Premissas!$B$10,B423)</f>
        <v/>
      </c>
      <c r="D423" s="12" t="n"/>
      <c r="E423" s="10">
        <f>Precos!J423</f>
        <v/>
      </c>
      <c r="F423" s="12" t="n"/>
    </row>
    <row r="424">
      <c r="A424" s="9">
        <f>Precos!A424</f>
        <v/>
      </c>
      <c r="B424" s="10">
        <f>INDEX(Precos!$B424:$I424,MATCH(Premissas!$B$8,Precos!$B$3:$I$3,0))</f>
        <v/>
      </c>
      <c r="C424" s="10">
        <f>IF(AND(Premissas!$B$10&gt;1,A424&lt;Premissas!$B$9),B424*Premissas!$B$10,B424)</f>
        <v/>
      </c>
      <c r="D424" s="12" t="n"/>
      <c r="E424" s="10">
        <f>Precos!J424</f>
        <v/>
      </c>
      <c r="F424" s="12" t="n"/>
    </row>
    <row r="425">
      <c r="A425" s="9">
        <f>Precos!A425</f>
        <v/>
      </c>
      <c r="B425" s="10">
        <f>INDEX(Precos!$B425:$I425,MATCH(Premissas!$B$8,Precos!$B$3:$I$3,0))</f>
        <v/>
      </c>
      <c r="C425" s="10">
        <f>IF(AND(Premissas!$B$10&gt;1,A425&lt;Premissas!$B$9),B425*Premissas!$B$10,B425)</f>
        <v/>
      </c>
      <c r="D425" s="12" t="n"/>
      <c r="E425" s="10">
        <f>Precos!J425</f>
        <v/>
      </c>
      <c r="F425" s="12" t="n"/>
    </row>
    <row r="426">
      <c r="A426" s="9">
        <f>Precos!A426</f>
        <v/>
      </c>
      <c r="B426" s="10">
        <f>INDEX(Precos!$B426:$I426,MATCH(Premissas!$B$8,Precos!$B$3:$I$3,0))</f>
        <v/>
      </c>
      <c r="C426" s="10">
        <f>IF(AND(Premissas!$B$10&gt;1,A426&lt;Premissas!$B$9),B426*Premissas!$B$10,B426)</f>
        <v/>
      </c>
      <c r="D426" s="12" t="n"/>
      <c r="E426" s="10">
        <f>Precos!J426</f>
        <v/>
      </c>
      <c r="F426" s="12" t="n"/>
    </row>
    <row r="427">
      <c r="A427" s="9">
        <f>Precos!A427</f>
        <v/>
      </c>
      <c r="B427" s="10">
        <f>INDEX(Precos!$B427:$I427,MATCH(Premissas!$B$8,Precos!$B$3:$I$3,0))</f>
        <v/>
      </c>
      <c r="C427" s="10">
        <f>IF(AND(Premissas!$B$10&gt;1,A427&lt;Premissas!$B$9),B427*Premissas!$B$10,B427)</f>
        <v/>
      </c>
      <c r="D427" s="12" t="n"/>
      <c r="E427" s="10">
        <f>Precos!J427</f>
        <v/>
      </c>
      <c r="F427" s="12" t="n"/>
    </row>
    <row r="428">
      <c r="A428" s="9">
        <f>Precos!A428</f>
        <v/>
      </c>
      <c r="B428" s="10">
        <f>INDEX(Precos!$B428:$I428,MATCH(Premissas!$B$8,Precos!$B$3:$I$3,0))</f>
        <v/>
      </c>
      <c r="C428" s="10">
        <f>IF(AND(Premissas!$B$10&gt;1,A428&lt;Premissas!$B$9),B428*Premissas!$B$10,B428)</f>
        <v/>
      </c>
      <c r="D428" s="12" t="n"/>
      <c r="E428" s="10">
        <f>Precos!J428</f>
        <v/>
      </c>
      <c r="F428" s="12" t="n"/>
    </row>
    <row r="429">
      <c r="A429" s="9">
        <f>Precos!A429</f>
        <v/>
      </c>
      <c r="B429" s="10">
        <f>INDEX(Precos!$B429:$I429,MATCH(Premissas!$B$8,Precos!$B$3:$I$3,0))</f>
        <v/>
      </c>
      <c r="C429" s="10">
        <f>IF(AND(Premissas!$B$10&gt;1,A429&lt;Premissas!$B$9),B429*Premissas!$B$10,B429)</f>
        <v/>
      </c>
      <c r="D429" s="12" t="n"/>
      <c r="E429" s="10">
        <f>Precos!J429</f>
        <v/>
      </c>
      <c r="F429" s="12" t="n"/>
    </row>
    <row r="430">
      <c r="A430" s="9">
        <f>Precos!A430</f>
        <v/>
      </c>
      <c r="B430" s="10">
        <f>INDEX(Precos!$B430:$I430,MATCH(Premissas!$B$8,Precos!$B$3:$I$3,0))</f>
        <v/>
      </c>
      <c r="C430" s="10">
        <f>IF(AND(Premissas!$B$10&gt;1,A430&lt;Premissas!$B$9),B430*Premissas!$B$10,B430)</f>
        <v/>
      </c>
      <c r="D430" s="12" t="n"/>
      <c r="E430" s="10">
        <f>Precos!J430</f>
        <v/>
      </c>
      <c r="F430" s="12" t="n"/>
    </row>
    <row r="431">
      <c r="A431" s="9">
        <f>Precos!A431</f>
        <v/>
      </c>
      <c r="B431" s="10">
        <f>INDEX(Precos!$B431:$I431,MATCH(Premissas!$B$8,Precos!$B$3:$I$3,0))</f>
        <v/>
      </c>
      <c r="C431" s="10">
        <f>IF(AND(Premissas!$B$10&gt;1,A431&lt;Premissas!$B$9),B431*Premissas!$B$10,B431)</f>
        <v/>
      </c>
      <c r="D431" s="12" t="n"/>
      <c r="E431" s="10">
        <f>Precos!J431</f>
        <v/>
      </c>
      <c r="F431" s="12" t="n"/>
    </row>
    <row r="432">
      <c r="A432" s="9">
        <f>Precos!A432</f>
        <v/>
      </c>
      <c r="B432" s="10">
        <f>INDEX(Precos!$B432:$I432,MATCH(Premissas!$B$8,Precos!$B$3:$I$3,0))</f>
        <v/>
      </c>
      <c r="C432" s="10">
        <f>IF(AND(Premissas!$B$10&gt;1,A432&lt;Premissas!$B$9),B432*Premissas!$B$10,B432)</f>
        <v/>
      </c>
      <c r="D432" s="12" t="n"/>
      <c r="E432" s="10">
        <f>Precos!J432</f>
        <v/>
      </c>
      <c r="F432" s="12" t="n"/>
    </row>
    <row r="433">
      <c r="A433" s="9">
        <f>Precos!A433</f>
        <v/>
      </c>
      <c r="B433" s="10">
        <f>INDEX(Precos!$B433:$I433,MATCH(Premissas!$B$8,Precos!$B$3:$I$3,0))</f>
        <v/>
      </c>
      <c r="C433" s="10">
        <f>IF(AND(Premissas!$B$10&gt;1,A433&lt;Premissas!$B$9),B433*Premissas!$B$10,B433)</f>
        <v/>
      </c>
      <c r="D433" s="12" t="n"/>
      <c r="E433" s="10">
        <f>Precos!J433</f>
        <v/>
      </c>
      <c r="F433" s="12" t="n"/>
    </row>
    <row r="434">
      <c r="A434" s="9">
        <f>Precos!A434</f>
        <v/>
      </c>
      <c r="B434" s="10">
        <f>INDEX(Precos!$B434:$I434,MATCH(Premissas!$B$8,Precos!$B$3:$I$3,0))</f>
        <v/>
      </c>
      <c r="C434" s="10">
        <f>IF(AND(Premissas!$B$10&gt;1,A434&lt;Premissas!$B$9),B434*Premissas!$B$10,B434)</f>
        <v/>
      </c>
      <c r="D434" s="12" t="n"/>
      <c r="E434" s="10">
        <f>Precos!J434</f>
        <v/>
      </c>
      <c r="F434" s="12" t="n"/>
    </row>
    <row r="435">
      <c r="A435" s="9">
        <f>Precos!A435</f>
        <v/>
      </c>
      <c r="B435" s="10">
        <f>INDEX(Precos!$B435:$I435,MATCH(Premissas!$B$8,Precos!$B$3:$I$3,0))</f>
        <v/>
      </c>
      <c r="C435" s="10">
        <f>IF(AND(Premissas!$B$10&gt;1,A435&lt;Premissas!$B$9),B435*Premissas!$B$10,B435)</f>
        <v/>
      </c>
      <c r="D435" s="12" t="n"/>
      <c r="E435" s="10">
        <f>Precos!J435</f>
        <v/>
      </c>
      <c r="F435" s="12" t="n"/>
    </row>
    <row r="436">
      <c r="A436" s="9">
        <f>Precos!A436</f>
        <v/>
      </c>
      <c r="B436" s="10">
        <f>INDEX(Precos!$B436:$I436,MATCH(Premissas!$B$8,Precos!$B$3:$I$3,0))</f>
        <v/>
      </c>
      <c r="C436" s="10">
        <f>IF(AND(Premissas!$B$10&gt;1,A436&lt;Premissas!$B$9),B436*Premissas!$B$10,B436)</f>
        <v/>
      </c>
      <c r="D436" s="12" t="n"/>
      <c r="E436" s="10">
        <f>Precos!J436</f>
        <v/>
      </c>
      <c r="F436" s="12" t="n"/>
    </row>
    <row r="437">
      <c r="A437" s="9">
        <f>Precos!A437</f>
        <v/>
      </c>
      <c r="B437" s="10">
        <f>INDEX(Precos!$B437:$I437,MATCH(Premissas!$B$8,Precos!$B$3:$I$3,0))</f>
        <v/>
      </c>
      <c r="C437" s="10">
        <f>IF(AND(Premissas!$B$10&gt;1,A437&lt;Premissas!$B$9),B437*Premissas!$B$10,B437)</f>
        <v/>
      </c>
      <c r="D437" s="12" t="n"/>
      <c r="E437" s="10">
        <f>Precos!J437</f>
        <v/>
      </c>
      <c r="F437" s="12" t="n"/>
    </row>
    <row r="438">
      <c r="A438" s="9">
        <f>Precos!A438</f>
        <v/>
      </c>
      <c r="B438" s="10">
        <f>INDEX(Precos!$B438:$I438,MATCH(Premissas!$B$8,Precos!$B$3:$I$3,0))</f>
        <v/>
      </c>
      <c r="C438" s="10">
        <f>IF(AND(Premissas!$B$10&gt;1,A438&lt;Premissas!$B$9),B438*Premissas!$B$10,B438)</f>
        <v/>
      </c>
      <c r="D438" s="12" t="n"/>
      <c r="E438" s="10">
        <f>Precos!J438</f>
        <v/>
      </c>
      <c r="F438" s="12" t="n"/>
    </row>
    <row r="439">
      <c r="A439" s="9">
        <f>Precos!A439</f>
        <v/>
      </c>
      <c r="B439" s="10">
        <f>INDEX(Precos!$B439:$I439,MATCH(Premissas!$B$8,Precos!$B$3:$I$3,0))</f>
        <v/>
      </c>
      <c r="C439" s="10">
        <f>IF(AND(Premissas!$B$10&gt;1,A439&lt;Premissas!$B$9),B439*Premissas!$B$10,B439)</f>
        <v/>
      </c>
      <c r="D439" s="12" t="n"/>
      <c r="E439" s="10">
        <f>Precos!J439</f>
        <v/>
      </c>
      <c r="F439" s="12" t="n"/>
    </row>
    <row r="440">
      <c r="A440" s="9">
        <f>Precos!A440</f>
        <v/>
      </c>
      <c r="B440" s="10">
        <f>INDEX(Precos!$B440:$I440,MATCH(Premissas!$B$8,Precos!$B$3:$I$3,0))</f>
        <v/>
      </c>
      <c r="C440" s="10">
        <f>IF(AND(Premissas!$B$10&gt;1,A440&lt;Premissas!$B$9),B440*Premissas!$B$10,B440)</f>
        <v/>
      </c>
      <c r="D440" s="12" t="n"/>
      <c r="E440" s="10">
        <f>Precos!J440</f>
        <v/>
      </c>
      <c r="F440" s="12" t="n"/>
    </row>
    <row r="441">
      <c r="A441" s="9">
        <f>Precos!A441</f>
        <v/>
      </c>
      <c r="B441" s="10">
        <f>INDEX(Precos!$B441:$I441,MATCH(Premissas!$B$8,Precos!$B$3:$I$3,0))</f>
        <v/>
      </c>
      <c r="C441" s="10">
        <f>IF(AND(Premissas!$B$10&gt;1,A441&lt;Premissas!$B$9),B441*Premissas!$B$10,B441)</f>
        <v/>
      </c>
      <c r="D441" s="12" t="n"/>
      <c r="E441" s="10">
        <f>Precos!J441</f>
        <v/>
      </c>
      <c r="F441" s="12" t="n"/>
    </row>
    <row r="442">
      <c r="A442" s="9">
        <f>Precos!A442</f>
        <v/>
      </c>
      <c r="B442" s="10">
        <f>INDEX(Precos!$B442:$I442,MATCH(Premissas!$B$8,Precos!$B$3:$I$3,0))</f>
        <v/>
      </c>
      <c r="C442" s="10">
        <f>IF(AND(Premissas!$B$10&gt;1,A442&lt;Premissas!$B$9),B442*Premissas!$B$10,B442)</f>
        <v/>
      </c>
      <c r="D442" s="12" t="n"/>
      <c r="E442" s="10">
        <f>Precos!J442</f>
        <v/>
      </c>
      <c r="F442" s="12" t="n"/>
    </row>
    <row r="443">
      <c r="A443" s="9">
        <f>Precos!A443</f>
        <v/>
      </c>
      <c r="B443" s="10">
        <f>INDEX(Precos!$B443:$I443,MATCH(Premissas!$B$8,Precos!$B$3:$I$3,0))</f>
        <v/>
      </c>
      <c r="C443" s="10">
        <f>IF(AND(Premissas!$B$10&gt;1,A443&lt;Premissas!$B$9),B443*Premissas!$B$10,B443)</f>
        <v/>
      </c>
      <c r="D443" s="12" t="n"/>
      <c r="E443" s="10">
        <f>Precos!J443</f>
        <v/>
      </c>
      <c r="F443" s="12" t="n"/>
    </row>
    <row r="444">
      <c r="A444" s="9">
        <f>Precos!A444</f>
        <v/>
      </c>
      <c r="B444" s="10">
        <f>INDEX(Precos!$B444:$I444,MATCH(Premissas!$B$8,Precos!$B$3:$I$3,0))</f>
        <v/>
      </c>
      <c r="C444" s="10">
        <f>IF(AND(Premissas!$B$10&gt;1,A444&lt;Premissas!$B$9),B444*Premissas!$B$10,B444)</f>
        <v/>
      </c>
      <c r="D444" s="12" t="n"/>
      <c r="E444" s="10">
        <f>Precos!J444</f>
        <v/>
      </c>
      <c r="F444" s="12" t="n"/>
    </row>
    <row r="445">
      <c r="A445" s="9">
        <f>Precos!A445</f>
        <v/>
      </c>
      <c r="B445" s="10">
        <f>INDEX(Precos!$B445:$I445,MATCH(Premissas!$B$8,Precos!$B$3:$I$3,0))</f>
        <v/>
      </c>
      <c r="C445" s="10">
        <f>IF(AND(Premissas!$B$10&gt;1,A445&lt;Premissas!$B$9),B445*Premissas!$B$10,B445)</f>
        <v/>
      </c>
      <c r="D445" s="12" t="n"/>
      <c r="E445" s="10">
        <f>Precos!J445</f>
        <v/>
      </c>
      <c r="F445" s="12" t="n"/>
    </row>
    <row r="446">
      <c r="A446" s="9">
        <f>Precos!A446</f>
        <v/>
      </c>
      <c r="B446" s="10">
        <f>INDEX(Precos!$B446:$I446,MATCH(Premissas!$B$8,Precos!$B$3:$I$3,0))</f>
        <v/>
      </c>
      <c r="C446" s="10">
        <f>IF(AND(Premissas!$B$10&gt;1,A446&lt;Premissas!$B$9),B446*Premissas!$B$10,B446)</f>
        <v/>
      </c>
      <c r="D446" s="12" t="n"/>
      <c r="E446" s="10">
        <f>Precos!J446</f>
        <v/>
      </c>
      <c r="F446" s="12" t="n"/>
    </row>
    <row r="447">
      <c r="A447" s="9">
        <f>Precos!A447</f>
        <v/>
      </c>
      <c r="B447" s="10">
        <f>INDEX(Precos!$B447:$I447,MATCH(Premissas!$B$8,Precos!$B$3:$I$3,0))</f>
        <v/>
      </c>
      <c r="C447" s="10">
        <f>IF(AND(Premissas!$B$10&gt;1,A447&lt;Premissas!$B$9),B447*Premissas!$B$10,B447)</f>
        <v/>
      </c>
      <c r="D447" s="12" t="n"/>
      <c r="E447" s="10">
        <f>Precos!J447</f>
        <v/>
      </c>
      <c r="F447" s="12" t="n"/>
    </row>
    <row r="448">
      <c r="A448" s="9">
        <f>Precos!A448</f>
        <v/>
      </c>
      <c r="B448" s="10">
        <f>INDEX(Precos!$B448:$I448,MATCH(Premissas!$B$8,Precos!$B$3:$I$3,0))</f>
        <v/>
      </c>
      <c r="C448" s="10">
        <f>IF(AND(Premissas!$B$10&gt;1,A448&lt;Premissas!$B$9),B448*Premissas!$B$10,B448)</f>
        <v/>
      </c>
      <c r="D448" s="12" t="n"/>
      <c r="E448" s="10">
        <f>Precos!J448</f>
        <v/>
      </c>
      <c r="F448" s="12" t="n"/>
    </row>
    <row r="449">
      <c r="A449" s="9">
        <f>Precos!A449</f>
        <v/>
      </c>
      <c r="B449" s="10">
        <f>INDEX(Precos!$B449:$I449,MATCH(Premissas!$B$8,Precos!$B$3:$I$3,0))</f>
        <v/>
      </c>
      <c r="C449" s="10">
        <f>IF(AND(Premissas!$B$10&gt;1,A449&lt;Premissas!$B$9),B449*Premissas!$B$10,B449)</f>
        <v/>
      </c>
      <c r="D449" s="12" t="n"/>
      <c r="E449" s="10">
        <f>Precos!J449</f>
        <v/>
      </c>
      <c r="F449" s="12" t="n"/>
    </row>
    <row r="450">
      <c r="A450" s="9">
        <f>Precos!A450</f>
        <v/>
      </c>
      <c r="B450" s="10">
        <f>INDEX(Precos!$B450:$I450,MATCH(Premissas!$B$8,Precos!$B$3:$I$3,0))</f>
        <v/>
      </c>
      <c r="C450" s="10">
        <f>IF(AND(Premissas!$B$10&gt;1,A450&lt;Premissas!$B$9),B450*Premissas!$B$10,B450)</f>
        <v/>
      </c>
      <c r="D450" s="12" t="n"/>
      <c r="E450" s="10">
        <f>Precos!J450</f>
        <v/>
      </c>
      <c r="F450" s="12" t="n"/>
    </row>
    <row r="451">
      <c r="A451" s="9">
        <f>Precos!A451</f>
        <v/>
      </c>
      <c r="B451" s="10">
        <f>INDEX(Precos!$B451:$I451,MATCH(Premissas!$B$8,Precos!$B$3:$I$3,0))</f>
        <v/>
      </c>
      <c r="C451" s="10">
        <f>IF(AND(Premissas!$B$10&gt;1,A451&lt;Premissas!$B$9),B451*Premissas!$B$10,B451)</f>
        <v/>
      </c>
      <c r="D451" s="12" t="n"/>
      <c r="E451" s="10">
        <f>Precos!J451</f>
        <v/>
      </c>
      <c r="F451" s="12" t="n"/>
    </row>
    <row r="452">
      <c r="A452" s="9">
        <f>Precos!A452</f>
        <v/>
      </c>
      <c r="B452" s="10">
        <f>INDEX(Precos!$B452:$I452,MATCH(Premissas!$B$8,Precos!$B$3:$I$3,0))</f>
        <v/>
      </c>
      <c r="C452" s="10">
        <f>IF(AND(Premissas!$B$10&gt;1,A452&lt;Premissas!$B$9),B452*Premissas!$B$10,B452)</f>
        <v/>
      </c>
      <c r="D452" s="12" t="n"/>
      <c r="E452" s="10">
        <f>Precos!J452</f>
        <v/>
      </c>
      <c r="F452" s="12" t="n"/>
    </row>
    <row r="453">
      <c r="A453" s="9">
        <f>Precos!A453</f>
        <v/>
      </c>
      <c r="B453" s="10">
        <f>INDEX(Precos!$B453:$I453,MATCH(Premissas!$B$8,Precos!$B$3:$I$3,0))</f>
        <v/>
      </c>
      <c r="C453" s="10">
        <f>IF(AND(Premissas!$B$10&gt;1,A453&lt;Premissas!$B$9),B453*Premissas!$B$10,B453)</f>
        <v/>
      </c>
      <c r="D453" s="12" t="n"/>
      <c r="E453" s="10">
        <f>Precos!J453</f>
        <v/>
      </c>
      <c r="F453" s="12" t="n"/>
    </row>
    <row r="454">
      <c r="A454" s="9">
        <f>Precos!A454</f>
        <v/>
      </c>
      <c r="B454" s="10">
        <f>INDEX(Precos!$B454:$I454,MATCH(Premissas!$B$8,Precos!$B$3:$I$3,0))</f>
        <v/>
      </c>
      <c r="C454" s="10">
        <f>IF(AND(Premissas!$B$10&gt;1,A454&lt;Premissas!$B$9),B454*Premissas!$B$10,B454)</f>
        <v/>
      </c>
      <c r="D454" s="12" t="n"/>
      <c r="E454" s="10">
        <f>Precos!J454</f>
        <v/>
      </c>
      <c r="F454" s="12" t="n"/>
    </row>
    <row r="455">
      <c r="A455" s="9">
        <f>Precos!A455</f>
        <v/>
      </c>
      <c r="B455" s="10">
        <f>INDEX(Precos!$B455:$I455,MATCH(Premissas!$B$8,Precos!$B$3:$I$3,0))</f>
        <v/>
      </c>
      <c r="C455" s="10">
        <f>IF(AND(Premissas!$B$10&gt;1,A455&lt;Premissas!$B$9),B455*Premissas!$B$10,B455)</f>
        <v/>
      </c>
      <c r="D455" s="12" t="n"/>
      <c r="E455" s="10">
        <f>Precos!J455</f>
        <v/>
      </c>
      <c r="F455" s="12" t="n"/>
    </row>
    <row r="456">
      <c r="A456" s="9">
        <f>Precos!A456</f>
        <v/>
      </c>
      <c r="B456" s="10">
        <f>INDEX(Precos!$B456:$I456,MATCH(Premissas!$B$8,Precos!$B$3:$I$3,0))</f>
        <v/>
      </c>
      <c r="C456" s="10">
        <f>IF(AND(Premissas!$B$10&gt;1,A456&lt;Premissas!$B$9),B456*Premissas!$B$10,B456)</f>
        <v/>
      </c>
      <c r="D456" s="12" t="n"/>
      <c r="E456" s="10">
        <f>Precos!J456</f>
        <v/>
      </c>
      <c r="F456" s="12" t="n"/>
    </row>
    <row r="457">
      <c r="A457" s="9">
        <f>Precos!A457</f>
        <v/>
      </c>
      <c r="B457" s="10">
        <f>INDEX(Precos!$B457:$I457,MATCH(Premissas!$B$8,Precos!$B$3:$I$3,0))</f>
        <v/>
      </c>
      <c r="C457" s="10">
        <f>IF(AND(Premissas!$B$10&gt;1,A457&lt;Premissas!$B$9),B457*Premissas!$B$10,B457)</f>
        <v/>
      </c>
      <c r="D457" s="12" t="n"/>
      <c r="E457" s="10">
        <f>Precos!J457</f>
        <v/>
      </c>
      <c r="F457" s="12" t="n"/>
    </row>
    <row r="458">
      <c r="A458" s="9">
        <f>Precos!A458</f>
        <v/>
      </c>
      <c r="B458" s="10">
        <f>INDEX(Precos!$B458:$I458,MATCH(Premissas!$B$8,Precos!$B$3:$I$3,0))</f>
        <v/>
      </c>
      <c r="C458" s="10">
        <f>IF(AND(Premissas!$B$10&gt;1,A458&lt;Premissas!$B$9),B458*Premissas!$B$10,B458)</f>
        <v/>
      </c>
      <c r="D458" s="12" t="n"/>
      <c r="E458" s="10">
        <f>Precos!J458</f>
        <v/>
      </c>
      <c r="F458" s="12" t="n"/>
    </row>
    <row r="459">
      <c r="A459" s="9">
        <f>Precos!A459</f>
        <v/>
      </c>
      <c r="B459" s="10">
        <f>INDEX(Precos!$B459:$I459,MATCH(Premissas!$B$8,Precos!$B$3:$I$3,0))</f>
        <v/>
      </c>
      <c r="C459" s="10">
        <f>IF(AND(Premissas!$B$10&gt;1,A459&lt;Premissas!$B$9),B459*Premissas!$B$10,B459)</f>
        <v/>
      </c>
      <c r="D459" s="12" t="n"/>
      <c r="E459" s="10">
        <f>Precos!J459</f>
        <v/>
      </c>
      <c r="F459" s="12" t="n"/>
    </row>
    <row r="460">
      <c r="A460" s="9">
        <f>Precos!A460</f>
        <v/>
      </c>
      <c r="B460" s="10">
        <f>INDEX(Precos!$B460:$I460,MATCH(Premissas!$B$8,Precos!$B$3:$I$3,0))</f>
        <v/>
      </c>
      <c r="C460" s="10">
        <f>IF(AND(Premissas!$B$10&gt;1,A460&lt;Premissas!$B$9),B460*Premissas!$B$10,B460)</f>
        <v/>
      </c>
      <c r="D460" s="12" t="n"/>
      <c r="E460" s="10">
        <f>Precos!J460</f>
        <v/>
      </c>
      <c r="F460" s="12" t="n"/>
    </row>
    <row r="461">
      <c r="A461" s="9">
        <f>Precos!A461</f>
        <v/>
      </c>
      <c r="B461" s="10">
        <f>INDEX(Precos!$B461:$I461,MATCH(Premissas!$B$8,Precos!$B$3:$I$3,0))</f>
        <v/>
      </c>
      <c r="C461" s="10">
        <f>IF(AND(Premissas!$B$10&gt;1,A461&lt;Premissas!$B$9),B461*Premissas!$B$10,B461)</f>
        <v/>
      </c>
      <c r="D461" s="12" t="n"/>
      <c r="E461" s="10">
        <f>Precos!J461</f>
        <v/>
      </c>
      <c r="F461" s="12" t="n"/>
    </row>
    <row r="462">
      <c r="A462" s="9">
        <f>Precos!A462</f>
        <v/>
      </c>
      <c r="B462" s="10">
        <f>INDEX(Precos!$B462:$I462,MATCH(Premissas!$B$8,Precos!$B$3:$I$3,0))</f>
        <v/>
      </c>
      <c r="C462" s="10">
        <f>IF(AND(Premissas!$B$10&gt;1,A462&lt;Premissas!$B$9),B462*Premissas!$B$10,B462)</f>
        <v/>
      </c>
      <c r="D462" s="12" t="n"/>
      <c r="E462" s="10">
        <f>Precos!J462</f>
        <v/>
      </c>
      <c r="F462" s="12" t="n"/>
    </row>
    <row r="463">
      <c r="A463" s="9">
        <f>Precos!A463</f>
        <v/>
      </c>
      <c r="B463" s="10">
        <f>INDEX(Precos!$B463:$I463,MATCH(Premissas!$B$8,Precos!$B$3:$I$3,0))</f>
        <v/>
      </c>
      <c r="C463" s="10">
        <f>IF(AND(Premissas!$B$10&gt;1,A463&lt;Premissas!$B$9),B463*Premissas!$B$10,B463)</f>
        <v/>
      </c>
      <c r="D463" s="12" t="n"/>
      <c r="E463" s="10">
        <f>Precos!J463</f>
        <v/>
      </c>
      <c r="F463" s="12" t="n"/>
    </row>
    <row r="464">
      <c r="A464" s="9">
        <f>Precos!A464</f>
        <v/>
      </c>
      <c r="B464" s="10">
        <f>INDEX(Precos!$B464:$I464,MATCH(Premissas!$B$8,Precos!$B$3:$I$3,0))</f>
        <v/>
      </c>
      <c r="C464" s="10">
        <f>IF(AND(Premissas!$B$10&gt;1,A464&lt;Premissas!$B$9),B464*Premissas!$B$10,B464)</f>
        <v/>
      </c>
      <c r="D464" s="12" t="n"/>
      <c r="E464" s="10">
        <f>Precos!J464</f>
        <v/>
      </c>
      <c r="F464" s="12" t="n"/>
    </row>
    <row r="465">
      <c r="A465" s="9">
        <f>Precos!A465</f>
        <v/>
      </c>
      <c r="B465" s="10">
        <f>INDEX(Precos!$B465:$I465,MATCH(Premissas!$B$8,Precos!$B$3:$I$3,0))</f>
        <v/>
      </c>
      <c r="C465" s="10">
        <f>IF(AND(Premissas!$B$10&gt;1,A465&lt;Premissas!$B$9),B465*Premissas!$B$10,B465)</f>
        <v/>
      </c>
      <c r="D465" s="12" t="n"/>
      <c r="E465" s="10">
        <f>Precos!J465</f>
        <v/>
      </c>
      <c r="F465" s="12" t="n"/>
    </row>
    <row r="466">
      <c r="A466" s="9">
        <f>Precos!A466</f>
        <v/>
      </c>
      <c r="B466" s="10">
        <f>INDEX(Precos!$B466:$I466,MATCH(Premissas!$B$8,Precos!$B$3:$I$3,0))</f>
        <v/>
      </c>
      <c r="C466" s="10">
        <f>IF(AND(Premissas!$B$10&gt;1,A466&lt;Premissas!$B$9),B466*Premissas!$B$10,B466)</f>
        <v/>
      </c>
      <c r="D466" s="12" t="n"/>
      <c r="E466" s="10">
        <f>Precos!J466</f>
        <v/>
      </c>
      <c r="F466" s="12" t="n"/>
    </row>
    <row r="467">
      <c r="A467" s="9">
        <f>Precos!A467</f>
        <v/>
      </c>
      <c r="B467" s="10">
        <f>INDEX(Precos!$B467:$I467,MATCH(Premissas!$B$8,Precos!$B$3:$I$3,0))</f>
        <v/>
      </c>
      <c r="C467" s="10">
        <f>IF(AND(Premissas!$B$10&gt;1,A467&lt;Premissas!$B$9),B467*Premissas!$B$10,B467)</f>
        <v/>
      </c>
      <c r="D467" s="12" t="n"/>
      <c r="E467" s="10">
        <f>Precos!J467</f>
        <v/>
      </c>
      <c r="F467" s="12" t="n"/>
    </row>
    <row r="468">
      <c r="A468" s="9">
        <f>Precos!A468</f>
        <v/>
      </c>
      <c r="B468" s="10">
        <f>INDEX(Precos!$B468:$I468,MATCH(Premissas!$B$8,Precos!$B$3:$I$3,0))</f>
        <v/>
      </c>
      <c r="C468" s="10">
        <f>IF(AND(Premissas!$B$10&gt;1,A468&lt;Premissas!$B$9),B468*Premissas!$B$10,B468)</f>
        <v/>
      </c>
      <c r="D468" s="12" t="n"/>
      <c r="E468" s="10">
        <f>Precos!J468</f>
        <v/>
      </c>
      <c r="F468" s="12" t="n"/>
    </row>
    <row r="469">
      <c r="A469" s="9">
        <f>Precos!A469</f>
        <v/>
      </c>
      <c r="B469" s="10">
        <f>INDEX(Precos!$B469:$I469,MATCH(Premissas!$B$8,Precos!$B$3:$I$3,0))</f>
        <v/>
      </c>
      <c r="C469" s="10">
        <f>IF(AND(Premissas!$B$10&gt;1,A469&lt;Premissas!$B$9),B469*Premissas!$B$10,B469)</f>
        <v/>
      </c>
      <c r="D469" s="12" t="n"/>
      <c r="E469" s="10">
        <f>Precos!J469</f>
        <v/>
      </c>
      <c r="F469" s="12" t="n"/>
    </row>
    <row r="470">
      <c r="A470" s="9">
        <f>Precos!A470</f>
        <v/>
      </c>
      <c r="B470" s="10">
        <f>INDEX(Precos!$B470:$I470,MATCH(Premissas!$B$8,Precos!$B$3:$I$3,0))</f>
        <v/>
      </c>
      <c r="C470" s="10">
        <f>IF(AND(Premissas!$B$10&gt;1,A470&lt;Premissas!$B$9),B470*Premissas!$B$10,B470)</f>
        <v/>
      </c>
      <c r="D470" s="12" t="n"/>
      <c r="E470" s="10">
        <f>Precos!J470</f>
        <v/>
      </c>
      <c r="F470" s="12" t="n"/>
    </row>
    <row r="471">
      <c r="A471" s="9">
        <f>Precos!A471</f>
        <v/>
      </c>
      <c r="B471" s="10">
        <f>INDEX(Precos!$B471:$I471,MATCH(Premissas!$B$8,Precos!$B$3:$I$3,0))</f>
        <v/>
      </c>
      <c r="C471" s="10">
        <f>IF(AND(Premissas!$B$10&gt;1,A471&lt;Premissas!$B$9),B471*Premissas!$B$10,B471)</f>
        <v/>
      </c>
      <c r="D471" s="12" t="n"/>
      <c r="E471" s="10">
        <f>Precos!J471</f>
        <v/>
      </c>
      <c r="F471" s="12" t="n"/>
    </row>
    <row r="472">
      <c r="A472" s="9">
        <f>Precos!A472</f>
        <v/>
      </c>
      <c r="B472" s="10">
        <f>INDEX(Precos!$B472:$I472,MATCH(Premissas!$B$8,Precos!$B$3:$I$3,0))</f>
        <v/>
      </c>
      <c r="C472" s="10">
        <f>IF(AND(Premissas!$B$10&gt;1,A472&lt;Premissas!$B$9),B472*Premissas!$B$10,B472)</f>
        <v/>
      </c>
      <c r="D472" s="12" t="n"/>
      <c r="E472" s="10">
        <f>Precos!J472</f>
        <v/>
      </c>
      <c r="F472" s="12" t="n"/>
    </row>
    <row r="473">
      <c r="A473" s="9">
        <f>Precos!A473</f>
        <v/>
      </c>
      <c r="B473" s="10">
        <f>INDEX(Precos!$B473:$I473,MATCH(Premissas!$B$8,Precos!$B$3:$I$3,0))</f>
        <v/>
      </c>
      <c r="C473" s="10">
        <f>IF(AND(Premissas!$B$10&gt;1,A473&lt;Premissas!$B$9),B473*Premissas!$B$10,B473)</f>
        <v/>
      </c>
      <c r="D473" s="12" t="n"/>
      <c r="E473" s="10">
        <f>Precos!J473</f>
        <v/>
      </c>
      <c r="F473" s="12" t="n"/>
    </row>
    <row r="474">
      <c r="A474" s="9">
        <f>Precos!A474</f>
        <v/>
      </c>
      <c r="B474" s="10">
        <f>INDEX(Precos!$B474:$I474,MATCH(Premissas!$B$8,Precos!$B$3:$I$3,0))</f>
        <v/>
      </c>
      <c r="C474" s="10">
        <f>IF(AND(Premissas!$B$10&gt;1,A474&lt;Premissas!$B$9),B474*Premissas!$B$10,B474)</f>
        <v/>
      </c>
      <c r="D474" s="12" t="n"/>
      <c r="E474" s="10">
        <f>Precos!J474</f>
        <v/>
      </c>
      <c r="F474" s="12" t="n"/>
    </row>
    <row r="475">
      <c r="A475" s="9">
        <f>Precos!A475</f>
        <v/>
      </c>
      <c r="B475" s="10">
        <f>INDEX(Precos!$B475:$I475,MATCH(Premissas!$B$8,Precos!$B$3:$I$3,0))</f>
        <v/>
      </c>
      <c r="C475" s="10">
        <f>IF(AND(Premissas!$B$10&gt;1,A475&lt;Premissas!$B$9),B475*Premissas!$B$10,B475)</f>
        <v/>
      </c>
      <c r="D475" s="12" t="n"/>
      <c r="E475" s="10">
        <f>Precos!J475</f>
        <v/>
      </c>
      <c r="F475" s="12" t="n"/>
    </row>
    <row r="476">
      <c r="A476" s="9">
        <f>Precos!A476</f>
        <v/>
      </c>
      <c r="B476" s="10">
        <f>INDEX(Precos!$B476:$I476,MATCH(Premissas!$B$8,Precos!$B$3:$I$3,0))</f>
        <v/>
      </c>
      <c r="C476" s="10">
        <f>IF(AND(Premissas!$B$10&gt;1,A476&lt;Premissas!$B$9),B476*Premissas!$B$10,B476)</f>
        <v/>
      </c>
      <c r="D476" s="12" t="n"/>
      <c r="E476" s="10">
        <f>Precos!J476</f>
        <v/>
      </c>
      <c r="F476" s="12" t="n"/>
    </row>
    <row r="477">
      <c r="A477" s="9">
        <f>Precos!A477</f>
        <v/>
      </c>
      <c r="B477" s="10">
        <f>INDEX(Precos!$B477:$I477,MATCH(Premissas!$B$8,Precos!$B$3:$I$3,0))</f>
        <v/>
      </c>
      <c r="C477" s="10">
        <f>IF(AND(Premissas!$B$10&gt;1,A477&lt;Premissas!$B$9),B477*Premissas!$B$10,B477)</f>
        <v/>
      </c>
      <c r="D477" s="12" t="n"/>
      <c r="E477" s="10">
        <f>Precos!J477</f>
        <v/>
      </c>
      <c r="F477" s="12" t="n"/>
    </row>
    <row r="478">
      <c r="A478" s="9">
        <f>Precos!A478</f>
        <v/>
      </c>
      <c r="B478" s="10">
        <f>INDEX(Precos!$B478:$I478,MATCH(Premissas!$B$8,Precos!$B$3:$I$3,0))</f>
        <v/>
      </c>
      <c r="C478" s="10">
        <f>IF(AND(Premissas!$B$10&gt;1,A478&lt;Premissas!$B$9),B478*Premissas!$B$10,B478)</f>
        <v/>
      </c>
      <c r="D478" s="12" t="n"/>
      <c r="E478" s="10">
        <f>Precos!J478</f>
        <v/>
      </c>
      <c r="F478" s="12" t="n"/>
    </row>
    <row r="479">
      <c r="A479" s="9">
        <f>Precos!A479</f>
        <v/>
      </c>
      <c r="B479" s="10">
        <f>INDEX(Precos!$B479:$I479,MATCH(Premissas!$B$8,Precos!$B$3:$I$3,0))</f>
        <v/>
      </c>
      <c r="C479" s="10">
        <f>IF(AND(Premissas!$B$10&gt;1,A479&lt;Premissas!$B$9),B479*Premissas!$B$10,B479)</f>
        <v/>
      </c>
      <c r="D479" s="12" t="n"/>
      <c r="E479" s="10">
        <f>Precos!J479</f>
        <v/>
      </c>
      <c r="F479" s="12" t="n"/>
    </row>
    <row r="480">
      <c r="A480" s="9">
        <f>Precos!A480</f>
        <v/>
      </c>
      <c r="B480" s="10">
        <f>INDEX(Precos!$B480:$I480,MATCH(Premissas!$B$8,Precos!$B$3:$I$3,0))</f>
        <v/>
      </c>
      <c r="C480" s="10">
        <f>IF(AND(Premissas!$B$10&gt;1,A480&lt;Premissas!$B$9),B480*Premissas!$B$10,B480)</f>
        <v/>
      </c>
      <c r="D480" s="12" t="n"/>
      <c r="E480" s="10">
        <f>Precos!J480</f>
        <v/>
      </c>
      <c r="F480" s="12" t="n"/>
    </row>
    <row r="481">
      <c r="A481" s="9">
        <f>Precos!A481</f>
        <v/>
      </c>
      <c r="B481" s="10">
        <f>INDEX(Precos!$B481:$I481,MATCH(Premissas!$B$8,Precos!$B$3:$I$3,0))</f>
        <v/>
      </c>
      <c r="C481" s="10">
        <f>IF(AND(Premissas!$B$10&gt;1,A481&lt;Premissas!$B$9),B481*Premissas!$B$10,B481)</f>
        <v/>
      </c>
      <c r="D481" s="12" t="n"/>
      <c r="E481" s="10">
        <f>Precos!J481</f>
        <v/>
      </c>
      <c r="F481" s="12" t="n"/>
    </row>
    <row r="482">
      <c r="A482" s="9">
        <f>Precos!A482</f>
        <v/>
      </c>
      <c r="B482" s="10">
        <f>INDEX(Precos!$B482:$I482,MATCH(Premissas!$B$8,Precos!$B$3:$I$3,0))</f>
        <v/>
      </c>
      <c r="C482" s="10">
        <f>IF(AND(Premissas!$B$10&gt;1,A482&lt;Premissas!$B$9),B482*Premissas!$B$10,B482)</f>
        <v/>
      </c>
      <c r="D482" s="12" t="n"/>
      <c r="E482" s="10">
        <f>Precos!J482</f>
        <v/>
      </c>
      <c r="F482" s="12" t="n"/>
    </row>
    <row r="483">
      <c r="A483" s="9">
        <f>Precos!A483</f>
        <v/>
      </c>
      <c r="B483" s="10">
        <f>INDEX(Precos!$B483:$I483,MATCH(Premissas!$B$8,Precos!$B$3:$I$3,0))</f>
        <v/>
      </c>
      <c r="C483" s="10">
        <f>IF(AND(Premissas!$B$10&gt;1,A483&lt;Premissas!$B$9),B483*Premissas!$B$10,B483)</f>
        <v/>
      </c>
      <c r="D483" s="12" t="n"/>
      <c r="E483" s="10">
        <f>Precos!J483</f>
        <v/>
      </c>
      <c r="F483" s="12" t="n"/>
    </row>
    <row r="484">
      <c r="A484" s="9">
        <f>Precos!A484</f>
        <v/>
      </c>
      <c r="B484" s="10">
        <f>INDEX(Precos!$B484:$I484,MATCH(Premissas!$B$8,Precos!$B$3:$I$3,0))</f>
        <v/>
      </c>
      <c r="C484" s="10">
        <f>IF(AND(Premissas!$B$10&gt;1,A484&lt;Premissas!$B$9),B484*Premissas!$B$10,B484)</f>
        <v/>
      </c>
      <c r="D484" s="12" t="n"/>
      <c r="E484" s="10">
        <f>Precos!J484</f>
        <v/>
      </c>
      <c r="F484" s="12" t="n"/>
    </row>
    <row r="485">
      <c r="A485" s="9">
        <f>Precos!A485</f>
        <v/>
      </c>
      <c r="B485" s="10">
        <f>INDEX(Precos!$B485:$I485,MATCH(Premissas!$B$8,Precos!$B$3:$I$3,0))</f>
        <v/>
      </c>
      <c r="C485" s="10">
        <f>IF(AND(Premissas!$B$10&gt;1,A485&lt;Premissas!$B$9),B485*Premissas!$B$10,B485)</f>
        <v/>
      </c>
      <c r="D485" s="12" t="n"/>
      <c r="E485" s="10">
        <f>Precos!J485</f>
        <v/>
      </c>
      <c r="F485" s="12" t="n"/>
    </row>
    <row r="486">
      <c r="A486" s="9">
        <f>Precos!A486</f>
        <v/>
      </c>
      <c r="B486" s="10">
        <f>INDEX(Precos!$B486:$I486,MATCH(Premissas!$B$8,Precos!$B$3:$I$3,0))</f>
        <v/>
      </c>
      <c r="C486" s="10">
        <f>IF(AND(Premissas!$B$10&gt;1,A486&lt;Premissas!$B$9),B486*Premissas!$B$10,B486)</f>
        <v/>
      </c>
      <c r="D486" s="12" t="n"/>
      <c r="E486" s="10">
        <f>Precos!J486</f>
        <v/>
      </c>
      <c r="F486" s="12" t="n"/>
    </row>
    <row r="487">
      <c r="A487" s="9">
        <f>Precos!A487</f>
        <v/>
      </c>
      <c r="B487" s="10">
        <f>INDEX(Precos!$B487:$I487,MATCH(Premissas!$B$8,Precos!$B$3:$I$3,0))</f>
        <v/>
      </c>
      <c r="C487" s="10">
        <f>IF(AND(Premissas!$B$10&gt;1,A487&lt;Premissas!$B$9),B487*Premissas!$B$10,B487)</f>
        <v/>
      </c>
      <c r="D487" s="12" t="n"/>
      <c r="E487" s="10">
        <f>Precos!J487</f>
        <v/>
      </c>
      <c r="F487" s="12" t="n"/>
    </row>
    <row r="488">
      <c r="A488" s="9">
        <f>Precos!A488</f>
        <v/>
      </c>
      <c r="B488" s="10">
        <f>INDEX(Precos!$B488:$I488,MATCH(Premissas!$B$8,Precos!$B$3:$I$3,0))</f>
        <v/>
      </c>
      <c r="C488" s="10">
        <f>IF(AND(Premissas!$B$10&gt;1,A488&lt;Premissas!$B$9),B488*Premissas!$B$10,B488)</f>
        <v/>
      </c>
      <c r="D488" s="12" t="n"/>
      <c r="E488" s="10">
        <f>Precos!J488</f>
        <v/>
      </c>
      <c r="F488" s="12" t="n"/>
    </row>
    <row r="489">
      <c r="A489" s="9">
        <f>Precos!A489</f>
        <v/>
      </c>
      <c r="B489" s="10">
        <f>INDEX(Precos!$B489:$I489,MATCH(Premissas!$B$8,Precos!$B$3:$I$3,0))</f>
        <v/>
      </c>
      <c r="C489" s="10">
        <f>IF(AND(Premissas!$B$10&gt;1,A489&lt;Premissas!$B$9),B489*Premissas!$B$10,B489)</f>
        <v/>
      </c>
      <c r="D489" s="12" t="n"/>
      <c r="E489" s="10">
        <f>Precos!J489</f>
        <v/>
      </c>
      <c r="F489" s="12" t="n"/>
    </row>
    <row r="490">
      <c r="A490" s="9">
        <f>Precos!A490</f>
        <v/>
      </c>
      <c r="B490" s="10">
        <f>INDEX(Precos!$B490:$I490,MATCH(Premissas!$B$8,Precos!$B$3:$I$3,0))</f>
        <v/>
      </c>
      <c r="C490" s="10">
        <f>IF(AND(Premissas!$B$10&gt;1,A490&lt;Premissas!$B$9),B490*Premissas!$B$10,B490)</f>
        <v/>
      </c>
      <c r="D490" s="12" t="n"/>
      <c r="E490" s="10">
        <f>Precos!J490</f>
        <v/>
      </c>
      <c r="F490" s="12" t="n"/>
    </row>
    <row r="491">
      <c r="A491" s="9">
        <f>Precos!A491</f>
        <v/>
      </c>
      <c r="B491" s="10">
        <f>INDEX(Precos!$B491:$I491,MATCH(Premissas!$B$8,Precos!$B$3:$I$3,0))</f>
        <v/>
      </c>
      <c r="C491" s="10">
        <f>IF(AND(Premissas!$B$10&gt;1,A491&lt;Premissas!$B$9),B491*Premissas!$B$10,B491)</f>
        <v/>
      </c>
      <c r="D491" s="12" t="n"/>
      <c r="E491" s="10">
        <f>Precos!J491</f>
        <v/>
      </c>
      <c r="F491" s="12" t="n"/>
    </row>
    <row r="492">
      <c r="A492" s="9">
        <f>Precos!A492</f>
        <v/>
      </c>
      <c r="B492" s="10">
        <f>INDEX(Precos!$B492:$I492,MATCH(Premissas!$B$8,Precos!$B$3:$I$3,0))</f>
        <v/>
      </c>
      <c r="C492" s="10">
        <f>IF(AND(Premissas!$B$10&gt;1,A492&lt;Premissas!$B$9),B492*Premissas!$B$10,B492)</f>
        <v/>
      </c>
      <c r="D492" s="12" t="n"/>
      <c r="E492" s="10">
        <f>Precos!J492</f>
        <v/>
      </c>
      <c r="F492" s="12" t="n"/>
    </row>
    <row r="493">
      <c r="A493" s="9">
        <f>Precos!A493</f>
        <v/>
      </c>
      <c r="B493" s="10">
        <f>INDEX(Precos!$B493:$I493,MATCH(Premissas!$B$8,Precos!$B$3:$I$3,0))</f>
        <v/>
      </c>
      <c r="C493" s="10">
        <f>IF(AND(Premissas!$B$10&gt;1,A493&lt;Premissas!$B$9),B493*Premissas!$B$10,B493)</f>
        <v/>
      </c>
      <c r="D493" s="12" t="n"/>
      <c r="E493" s="10">
        <f>Precos!J493</f>
        <v/>
      </c>
      <c r="F493" s="12" t="n"/>
    </row>
    <row r="494">
      <c r="A494" s="9">
        <f>Precos!A494</f>
        <v/>
      </c>
      <c r="B494" s="10">
        <f>INDEX(Precos!$B494:$I494,MATCH(Premissas!$B$8,Precos!$B$3:$I$3,0))</f>
        <v/>
      </c>
      <c r="C494" s="10">
        <f>IF(AND(Premissas!$B$10&gt;1,A494&lt;Premissas!$B$9),B494*Premissas!$B$10,B494)</f>
        <v/>
      </c>
      <c r="D494" s="12" t="n"/>
      <c r="E494" s="10">
        <f>Precos!J494</f>
        <v/>
      </c>
      <c r="F494" s="12" t="n"/>
    </row>
    <row r="495">
      <c r="A495" s="9">
        <f>Precos!A495</f>
        <v/>
      </c>
      <c r="B495" s="10">
        <f>INDEX(Precos!$B495:$I495,MATCH(Premissas!$B$8,Precos!$B$3:$I$3,0))</f>
        <v/>
      </c>
      <c r="C495" s="10">
        <f>IF(AND(Premissas!$B$10&gt;1,A495&lt;Premissas!$B$9),B495*Premissas!$B$10,B495)</f>
        <v/>
      </c>
      <c r="D495" s="12" t="n"/>
      <c r="E495" s="10">
        <f>Precos!J495</f>
        <v/>
      </c>
      <c r="F495" s="12" t="n"/>
    </row>
    <row r="496">
      <c r="A496" s="9">
        <f>Precos!A496</f>
        <v/>
      </c>
      <c r="B496" s="10">
        <f>INDEX(Precos!$B496:$I496,MATCH(Premissas!$B$8,Precos!$B$3:$I$3,0))</f>
        <v/>
      </c>
      <c r="C496" s="10">
        <f>IF(AND(Premissas!$B$10&gt;1,A496&lt;Premissas!$B$9),B496*Premissas!$B$10,B496)</f>
        <v/>
      </c>
      <c r="D496" s="12" t="n"/>
      <c r="E496" s="10">
        <f>Precos!J496</f>
        <v/>
      </c>
      <c r="F496" s="12" t="n"/>
    </row>
    <row r="497">
      <c r="A497" s="9">
        <f>Precos!A497</f>
        <v/>
      </c>
      <c r="B497" s="10">
        <f>INDEX(Precos!$B497:$I497,MATCH(Premissas!$B$8,Precos!$B$3:$I$3,0))</f>
        <v/>
      </c>
      <c r="C497" s="10">
        <f>IF(AND(Premissas!$B$10&gt;1,A497&lt;Premissas!$B$9),B497*Premissas!$B$10,B497)</f>
        <v/>
      </c>
      <c r="D497" s="12" t="n"/>
      <c r="E497" s="10">
        <f>Precos!J497</f>
        <v/>
      </c>
      <c r="F497" s="12" t="n"/>
    </row>
    <row r="498">
      <c r="A498" s="9">
        <f>Precos!A498</f>
        <v/>
      </c>
      <c r="B498" s="10">
        <f>INDEX(Precos!$B498:$I498,MATCH(Premissas!$B$8,Precos!$B$3:$I$3,0))</f>
        <v/>
      </c>
      <c r="C498" s="10">
        <f>IF(AND(Premissas!$B$10&gt;1,A498&lt;Premissas!$B$9),B498*Premissas!$B$10,B498)</f>
        <v/>
      </c>
      <c r="D498" s="12" t="n"/>
      <c r="E498" s="10">
        <f>Precos!J498</f>
        <v/>
      </c>
      <c r="F498" s="12" t="n"/>
    </row>
    <row r="499">
      <c r="A499" s="9">
        <f>Precos!A499</f>
        <v/>
      </c>
      <c r="B499" s="10">
        <f>INDEX(Precos!$B499:$I499,MATCH(Premissas!$B$8,Precos!$B$3:$I$3,0))</f>
        <v/>
      </c>
      <c r="C499" s="10">
        <f>IF(AND(Premissas!$B$10&gt;1,A499&lt;Premissas!$B$9),B499*Premissas!$B$10,B499)</f>
        <v/>
      </c>
      <c r="D499" s="12" t="n"/>
      <c r="E499" s="10">
        <f>Precos!J499</f>
        <v/>
      </c>
      <c r="F499" s="12" t="n"/>
    </row>
    <row r="500">
      <c r="A500" s="9">
        <f>Precos!A500</f>
        <v/>
      </c>
      <c r="B500" s="10">
        <f>INDEX(Precos!$B500:$I500,MATCH(Premissas!$B$8,Precos!$B$3:$I$3,0))</f>
        <v/>
      </c>
      <c r="C500" s="10">
        <f>IF(AND(Premissas!$B$10&gt;1,A500&lt;Premissas!$B$9),B500*Premissas!$B$10,B500)</f>
        <v/>
      </c>
      <c r="D500" s="12" t="n"/>
      <c r="E500" s="10">
        <f>Precos!J500</f>
        <v/>
      </c>
      <c r="F500" s="12" t="n"/>
    </row>
    <row r="501">
      <c r="A501" s="9">
        <f>Precos!A501</f>
        <v/>
      </c>
      <c r="B501" s="10">
        <f>INDEX(Precos!$B501:$I501,MATCH(Premissas!$B$8,Precos!$B$3:$I$3,0))</f>
        <v/>
      </c>
      <c r="C501" s="10">
        <f>IF(AND(Premissas!$B$10&gt;1,A501&lt;Premissas!$B$9),B501*Premissas!$B$10,B501)</f>
        <v/>
      </c>
      <c r="D501" s="12" t="n"/>
      <c r="E501" s="10">
        <f>Precos!J501</f>
        <v/>
      </c>
      <c r="F501" s="12" t="n"/>
    </row>
    <row r="502">
      <c r="A502" s="9">
        <f>Precos!A502</f>
        <v/>
      </c>
      <c r="B502" s="10">
        <f>INDEX(Precos!$B502:$I502,MATCH(Premissas!$B$8,Precos!$B$3:$I$3,0))</f>
        <v/>
      </c>
      <c r="C502" s="10">
        <f>IF(AND(Premissas!$B$10&gt;1,A502&lt;Premissas!$B$9),B502*Premissas!$B$10,B502)</f>
        <v/>
      </c>
      <c r="D502" s="12" t="n"/>
      <c r="E502" s="10">
        <f>Precos!J502</f>
        <v/>
      </c>
      <c r="F502" s="12" t="n"/>
    </row>
    <row r="503">
      <c r="A503" s="9">
        <f>Precos!A503</f>
        <v/>
      </c>
      <c r="B503" s="10">
        <f>INDEX(Precos!$B503:$I503,MATCH(Premissas!$B$8,Precos!$B$3:$I$3,0))</f>
        <v/>
      </c>
      <c r="C503" s="10">
        <f>IF(AND(Premissas!$B$10&gt;1,A503&lt;Premissas!$B$9),B503*Premissas!$B$10,B503)</f>
        <v/>
      </c>
      <c r="D503" s="12" t="n"/>
      <c r="E503" s="10">
        <f>Precos!J503</f>
        <v/>
      </c>
      <c r="F503" s="12" t="n"/>
    </row>
    <row r="504">
      <c r="A504" s="9">
        <f>Precos!A504</f>
        <v/>
      </c>
      <c r="B504" s="10">
        <f>INDEX(Precos!$B504:$I504,MATCH(Premissas!$B$8,Precos!$B$3:$I$3,0))</f>
        <v/>
      </c>
      <c r="C504" s="10">
        <f>IF(AND(Premissas!$B$10&gt;1,A504&lt;Premissas!$B$9),B504*Premissas!$B$10,B504)</f>
        <v/>
      </c>
      <c r="D504" s="12" t="n"/>
      <c r="E504" s="10">
        <f>Precos!J504</f>
        <v/>
      </c>
      <c r="F504" s="12" t="n"/>
    </row>
    <row r="505">
      <c r="A505" s="9">
        <f>Precos!A505</f>
        <v/>
      </c>
      <c r="B505" s="10">
        <f>INDEX(Precos!$B505:$I505,MATCH(Premissas!$B$8,Precos!$B$3:$I$3,0))</f>
        <v/>
      </c>
      <c r="C505" s="10">
        <f>IF(AND(Premissas!$B$10&gt;1,A505&lt;Premissas!$B$9),B505*Premissas!$B$10,B505)</f>
        <v/>
      </c>
      <c r="D505" s="12" t="n"/>
      <c r="E505" s="10">
        <f>Precos!J505</f>
        <v/>
      </c>
      <c r="F505" s="12" t="n"/>
    </row>
    <row r="506">
      <c r="A506" s="9">
        <f>Precos!A506</f>
        <v/>
      </c>
      <c r="B506" s="10">
        <f>INDEX(Precos!$B506:$I506,MATCH(Premissas!$B$8,Precos!$B$3:$I$3,0))</f>
        <v/>
      </c>
      <c r="C506" s="10">
        <f>IF(AND(Premissas!$B$10&gt;1,A506&lt;Premissas!$B$9),B506*Premissas!$B$10,B506)</f>
        <v/>
      </c>
      <c r="D506" s="12" t="n"/>
      <c r="E506" s="10">
        <f>Precos!J506</f>
        <v/>
      </c>
      <c r="F506" s="12" t="n"/>
    </row>
    <row r="507">
      <c r="A507" s="9">
        <f>Precos!A507</f>
        <v/>
      </c>
      <c r="B507" s="10">
        <f>INDEX(Precos!$B507:$I507,MATCH(Premissas!$B$8,Precos!$B$3:$I$3,0))</f>
        <v/>
      </c>
      <c r="C507" s="10">
        <f>IF(AND(Premissas!$B$10&gt;1,A507&lt;Premissas!$B$9),B507*Premissas!$B$10,B507)</f>
        <v/>
      </c>
      <c r="D507" s="12" t="n"/>
      <c r="E507" s="10">
        <f>Precos!J507</f>
        <v/>
      </c>
      <c r="F507" s="12" t="n"/>
    </row>
    <row r="508">
      <c r="A508" s="9">
        <f>Precos!A508</f>
        <v/>
      </c>
      <c r="B508" s="10">
        <f>INDEX(Precos!$B508:$I508,MATCH(Premissas!$B$8,Precos!$B$3:$I$3,0))</f>
        <v/>
      </c>
      <c r="C508" s="10">
        <f>IF(AND(Premissas!$B$10&gt;1,A508&lt;Premissas!$B$9),B508*Premissas!$B$10,B508)</f>
        <v/>
      </c>
      <c r="D508" s="12" t="n"/>
      <c r="E508" s="10">
        <f>Precos!J508</f>
        <v/>
      </c>
      <c r="F508" s="12" t="n"/>
    </row>
    <row r="509">
      <c r="A509" s="9">
        <f>Precos!A509</f>
        <v/>
      </c>
      <c r="B509" s="10">
        <f>INDEX(Precos!$B509:$I509,MATCH(Premissas!$B$8,Precos!$B$3:$I$3,0))</f>
        <v/>
      </c>
      <c r="C509" s="10">
        <f>IF(AND(Premissas!$B$10&gt;1,A509&lt;Premissas!$B$9),B509*Premissas!$B$10,B509)</f>
        <v/>
      </c>
      <c r="D509" s="12" t="n"/>
      <c r="E509" s="10">
        <f>Precos!J509</f>
        <v/>
      </c>
      <c r="F509" s="12" t="n"/>
    </row>
    <row r="510">
      <c r="A510" s="9">
        <f>Precos!A510</f>
        <v/>
      </c>
      <c r="B510" s="10">
        <f>INDEX(Precos!$B510:$I510,MATCH(Premissas!$B$8,Precos!$B$3:$I$3,0))</f>
        <v/>
      </c>
      <c r="C510" s="10">
        <f>IF(AND(Premissas!$B$10&gt;1,A510&lt;Premissas!$B$9),B510*Premissas!$B$10,B510)</f>
        <v/>
      </c>
      <c r="D510" s="12" t="n"/>
      <c r="E510" s="10">
        <f>Precos!J510</f>
        <v/>
      </c>
      <c r="F510" s="12" t="n"/>
    </row>
    <row r="511">
      <c r="A511" s="9">
        <f>Precos!A511</f>
        <v/>
      </c>
      <c r="B511" s="10">
        <f>INDEX(Precos!$B511:$I511,MATCH(Premissas!$B$8,Precos!$B$3:$I$3,0))</f>
        <v/>
      </c>
      <c r="C511" s="10">
        <f>IF(AND(Premissas!$B$10&gt;1,A511&lt;Premissas!$B$9),B511*Premissas!$B$10,B511)</f>
        <v/>
      </c>
      <c r="D511" s="12" t="n"/>
      <c r="E511" s="10">
        <f>Precos!J511</f>
        <v/>
      </c>
      <c r="F511" s="12" t="n"/>
    </row>
    <row r="512">
      <c r="A512" s="9">
        <f>Precos!A512</f>
        <v/>
      </c>
      <c r="B512" s="10">
        <f>INDEX(Precos!$B512:$I512,MATCH(Premissas!$B$8,Precos!$B$3:$I$3,0))</f>
        <v/>
      </c>
      <c r="C512" s="10">
        <f>IF(AND(Premissas!$B$10&gt;1,A512&lt;Premissas!$B$9),B512*Premissas!$B$10,B512)</f>
        <v/>
      </c>
      <c r="D512" s="12" t="n"/>
      <c r="E512" s="10">
        <f>Precos!J512</f>
        <v/>
      </c>
      <c r="F512" s="12" t="n"/>
    </row>
    <row r="513">
      <c r="A513" s="9">
        <f>Precos!A513</f>
        <v/>
      </c>
      <c r="B513" s="10">
        <f>INDEX(Precos!$B513:$I513,MATCH(Premissas!$B$8,Precos!$B$3:$I$3,0))</f>
        <v/>
      </c>
      <c r="C513" s="10">
        <f>IF(AND(Premissas!$B$10&gt;1,A513&lt;Premissas!$B$9),B513*Premissas!$B$10,B513)</f>
        <v/>
      </c>
      <c r="D513" s="12" t="n"/>
      <c r="E513" s="10">
        <f>Precos!J513</f>
        <v/>
      </c>
      <c r="F513" s="12" t="n"/>
    </row>
    <row r="514">
      <c r="A514" s="9">
        <f>Precos!A514</f>
        <v/>
      </c>
      <c r="B514" s="10">
        <f>INDEX(Precos!$B514:$I514,MATCH(Premissas!$B$8,Precos!$B$3:$I$3,0))</f>
        <v/>
      </c>
      <c r="C514" s="10">
        <f>IF(AND(Premissas!$B$10&gt;1,A514&lt;Premissas!$B$9),B514*Premissas!$B$10,B514)</f>
        <v/>
      </c>
      <c r="D514" s="12" t="n"/>
      <c r="E514" s="10">
        <f>Precos!J514</f>
        <v/>
      </c>
      <c r="F514" s="12" t="n"/>
    </row>
    <row r="515">
      <c r="A515" s="9">
        <f>Precos!A515</f>
        <v/>
      </c>
      <c r="B515" s="10">
        <f>INDEX(Precos!$B515:$I515,MATCH(Premissas!$B$8,Precos!$B$3:$I$3,0))</f>
        <v/>
      </c>
      <c r="C515" s="10">
        <f>IF(AND(Premissas!$B$10&gt;1,A515&lt;Premissas!$B$9),B515*Premissas!$B$10,B515)</f>
        <v/>
      </c>
      <c r="D515" s="12" t="n"/>
      <c r="E515" s="10">
        <f>Precos!J515</f>
        <v/>
      </c>
      <c r="F515" s="12" t="n"/>
    </row>
    <row r="516">
      <c r="A516" s="9">
        <f>Precos!A516</f>
        <v/>
      </c>
      <c r="B516" s="10">
        <f>INDEX(Precos!$B516:$I516,MATCH(Premissas!$B$8,Precos!$B$3:$I$3,0))</f>
        <v/>
      </c>
      <c r="C516" s="10">
        <f>IF(AND(Premissas!$B$10&gt;1,A516&lt;Premissas!$B$9),B516*Premissas!$B$10,B516)</f>
        <v/>
      </c>
      <c r="D516" s="12" t="n"/>
      <c r="E516" s="10">
        <f>Precos!J516</f>
        <v/>
      </c>
      <c r="F516" s="12" t="n"/>
    </row>
    <row r="517">
      <c r="A517" s="9">
        <f>Precos!A517</f>
        <v/>
      </c>
      <c r="B517" s="10">
        <f>INDEX(Precos!$B517:$I517,MATCH(Premissas!$B$8,Precos!$B$3:$I$3,0))</f>
        <v/>
      </c>
      <c r="C517" s="10">
        <f>IF(AND(Premissas!$B$10&gt;1,A517&lt;Premissas!$B$9),B517*Premissas!$B$10,B517)</f>
        <v/>
      </c>
      <c r="D517" s="12" t="n"/>
      <c r="E517" s="10">
        <f>Precos!J517</f>
        <v/>
      </c>
      <c r="F517" s="12" t="n"/>
    </row>
    <row r="518">
      <c r="A518" s="9">
        <f>Precos!A518</f>
        <v/>
      </c>
      <c r="B518" s="10">
        <f>INDEX(Precos!$B518:$I518,MATCH(Premissas!$B$8,Precos!$B$3:$I$3,0))</f>
        <v/>
      </c>
      <c r="C518" s="10">
        <f>IF(AND(Premissas!$B$10&gt;1,A518&lt;Premissas!$B$9),B518*Premissas!$B$10,B518)</f>
        <v/>
      </c>
      <c r="D518" s="12" t="n"/>
      <c r="E518" s="10">
        <f>Precos!J518</f>
        <v/>
      </c>
      <c r="F518" s="12" t="n"/>
    </row>
    <row r="519">
      <c r="A519" s="9">
        <f>Precos!A519</f>
        <v/>
      </c>
      <c r="B519" s="10">
        <f>INDEX(Precos!$B519:$I519,MATCH(Premissas!$B$8,Precos!$B$3:$I$3,0))</f>
        <v/>
      </c>
      <c r="C519" s="10">
        <f>IF(AND(Premissas!$B$10&gt;1,A519&lt;Premissas!$B$9),B519*Premissas!$B$10,B519)</f>
        <v/>
      </c>
      <c r="D519" s="12" t="n"/>
      <c r="E519" s="10">
        <f>Precos!J519</f>
        <v/>
      </c>
      <c r="F519" s="12" t="n"/>
    </row>
    <row r="520">
      <c r="A520" s="9">
        <f>Precos!A520</f>
        <v/>
      </c>
      <c r="B520" s="10">
        <f>INDEX(Precos!$B520:$I520,MATCH(Premissas!$B$8,Precos!$B$3:$I$3,0))</f>
        <v/>
      </c>
      <c r="C520" s="10">
        <f>IF(AND(Premissas!$B$10&gt;1,A520&lt;Premissas!$B$9),B520*Premissas!$B$10,B520)</f>
        <v/>
      </c>
      <c r="D520" s="12" t="n"/>
      <c r="E520" s="10">
        <f>Precos!J520</f>
        <v/>
      </c>
      <c r="F520" s="12" t="n"/>
    </row>
    <row r="521">
      <c r="A521" s="9">
        <f>Precos!A521</f>
        <v/>
      </c>
      <c r="B521" s="10">
        <f>INDEX(Precos!$B521:$I521,MATCH(Premissas!$B$8,Precos!$B$3:$I$3,0))</f>
        <v/>
      </c>
      <c r="C521" s="10">
        <f>IF(AND(Premissas!$B$10&gt;1,A521&lt;Premissas!$B$9),B521*Premissas!$B$10,B521)</f>
        <v/>
      </c>
      <c r="D521" s="12" t="n"/>
      <c r="E521" s="10">
        <f>Precos!J521</f>
        <v/>
      </c>
      <c r="F521" s="12" t="n"/>
    </row>
    <row r="522">
      <c r="A522" s="9">
        <f>Precos!A522</f>
        <v/>
      </c>
      <c r="B522" s="10">
        <f>INDEX(Precos!$B522:$I522,MATCH(Premissas!$B$8,Precos!$B$3:$I$3,0))</f>
        <v/>
      </c>
      <c r="C522" s="10">
        <f>IF(AND(Premissas!$B$10&gt;1,A522&lt;Premissas!$B$9),B522*Premissas!$B$10,B522)</f>
        <v/>
      </c>
      <c r="D522" s="12" t="n"/>
      <c r="E522" s="10">
        <f>Precos!J522</f>
        <v/>
      </c>
      <c r="F522" s="12" t="n"/>
    </row>
    <row r="523">
      <c r="A523" s="9">
        <f>Precos!A523</f>
        <v/>
      </c>
      <c r="B523" s="10">
        <f>INDEX(Precos!$B523:$I523,MATCH(Premissas!$B$8,Precos!$B$3:$I$3,0))</f>
        <v/>
      </c>
      <c r="C523" s="10">
        <f>IF(AND(Premissas!$B$10&gt;1,A523&lt;Premissas!$B$9),B523*Premissas!$B$10,B523)</f>
        <v/>
      </c>
      <c r="D523" s="12" t="n"/>
      <c r="E523" s="10">
        <f>Precos!J523</f>
        <v/>
      </c>
      <c r="F523" s="12" t="n"/>
    </row>
    <row r="524">
      <c r="A524" s="9">
        <f>Precos!A524</f>
        <v/>
      </c>
      <c r="B524" s="10">
        <f>INDEX(Precos!$B524:$I524,MATCH(Premissas!$B$8,Precos!$B$3:$I$3,0))</f>
        <v/>
      </c>
      <c r="C524" s="10">
        <f>IF(AND(Premissas!$B$10&gt;1,A524&lt;Premissas!$B$9),B524*Premissas!$B$10,B524)</f>
        <v/>
      </c>
      <c r="D524" s="12" t="n"/>
      <c r="E524" s="10">
        <f>Precos!J524</f>
        <v/>
      </c>
      <c r="F524" s="12" t="n"/>
    </row>
    <row r="525">
      <c r="A525" s="9">
        <f>Precos!A525</f>
        <v/>
      </c>
      <c r="B525" s="10">
        <f>INDEX(Precos!$B525:$I525,MATCH(Premissas!$B$8,Precos!$B$3:$I$3,0))</f>
        <v/>
      </c>
      <c r="C525" s="10">
        <f>IF(AND(Premissas!$B$10&gt;1,A525&lt;Premissas!$B$9),B525*Premissas!$B$10,B525)</f>
        <v/>
      </c>
      <c r="D525" s="12" t="n"/>
      <c r="E525" s="10">
        <f>Precos!J525</f>
        <v/>
      </c>
      <c r="F525" s="12" t="n"/>
    </row>
    <row r="526">
      <c r="A526" s="9">
        <f>Precos!A526</f>
        <v/>
      </c>
      <c r="B526" s="10">
        <f>INDEX(Precos!$B526:$I526,MATCH(Premissas!$B$8,Precos!$B$3:$I$3,0))</f>
        <v/>
      </c>
      <c r="C526" s="10">
        <f>IF(AND(Premissas!$B$10&gt;1,A526&lt;Premissas!$B$9),B526*Premissas!$B$10,B526)</f>
        <v/>
      </c>
      <c r="D526" s="12" t="n"/>
      <c r="E526" s="10">
        <f>Precos!J526</f>
        <v/>
      </c>
      <c r="F526" s="12" t="n"/>
    </row>
    <row r="527">
      <c r="A527" s="9">
        <f>Precos!A527</f>
        <v/>
      </c>
      <c r="B527" s="10">
        <f>INDEX(Precos!$B527:$I527,MATCH(Premissas!$B$8,Precos!$B$3:$I$3,0))</f>
        <v/>
      </c>
      <c r="C527" s="10">
        <f>IF(AND(Premissas!$B$10&gt;1,A527&lt;Premissas!$B$9),B527*Premissas!$B$10,B527)</f>
        <v/>
      </c>
      <c r="D527" s="12" t="n"/>
      <c r="E527" s="10">
        <f>Precos!J527</f>
        <v/>
      </c>
      <c r="F527" s="12" t="n"/>
    </row>
    <row r="528">
      <c r="A528" s="9">
        <f>Precos!A528</f>
        <v/>
      </c>
      <c r="B528" s="10">
        <f>INDEX(Precos!$B528:$I528,MATCH(Premissas!$B$8,Precos!$B$3:$I$3,0))</f>
        <v/>
      </c>
      <c r="C528" s="10">
        <f>IF(AND(Premissas!$B$10&gt;1,A528&lt;Premissas!$B$9),B528*Premissas!$B$10,B528)</f>
        <v/>
      </c>
      <c r="D528" s="12" t="n"/>
      <c r="E528" s="10">
        <f>Precos!J528</f>
        <v/>
      </c>
      <c r="F528" s="12" t="n"/>
    </row>
    <row r="529">
      <c r="A529" s="9">
        <f>Precos!A529</f>
        <v/>
      </c>
      <c r="B529" s="10">
        <f>INDEX(Precos!$B529:$I529,MATCH(Premissas!$B$8,Precos!$B$3:$I$3,0))</f>
        <v/>
      </c>
      <c r="C529" s="10">
        <f>IF(AND(Premissas!$B$10&gt;1,A529&lt;Premissas!$B$9),B529*Premissas!$B$10,B529)</f>
        <v/>
      </c>
      <c r="D529" s="12" t="n"/>
      <c r="E529" s="10">
        <f>Precos!J529</f>
        <v/>
      </c>
      <c r="F529" s="12" t="n"/>
    </row>
    <row r="530">
      <c r="A530" s="9">
        <f>Precos!A530</f>
        <v/>
      </c>
      <c r="B530" s="10">
        <f>INDEX(Precos!$B530:$I530,MATCH(Premissas!$B$8,Precos!$B$3:$I$3,0))</f>
        <v/>
      </c>
      <c r="C530" s="10">
        <f>IF(AND(Premissas!$B$10&gt;1,A530&lt;Premissas!$B$9),B530*Premissas!$B$10,B530)</f>
        <v/>
      </c>
      <c r="D530" s="12" t="n"/>
      <c r="E530" s="10">
        <f>Precos!J530</f>
        <v/>
      </c>
      <c r="F530" s="12" t="n"/>
    </row>
    <row r="531">
      <c r="A531" s="9">
        <f>Precos!A531</f>
        <v/>
      </c>
      <c r="B531" s="10">
        <f>INDEX(Precos!$B531:$I531,MATCH(Premissas!$B$8,Precos!$B$3:$I$3,0))</f>
        <v/>
      </c>
      <c r="C531" s="10">
        <f>IF(AND(Premissas!$B$10&gt;1,A531&lt;Premissas!$B$9),B531*Premissas!$B$10,B531)</f>
        <v/>
      </c>
      <c r="D531" s="12" t="n"/>
      <c r="E531" s="10">
        <f>Precos!J531</f>
        <v/>
      </c>
      <c r="F531" s="12" t="n"/>
    </row>
    <row r="532">
      <c r="A532" s="9">
        <f>Precos!A532</f>
        <v/>
      </c>
      <c r="B532" s="10">
        <f>INDEX(Precos!$B532:$I532,MATCH(Premissas!$B$8,Precos!$B$3:$I$3,0))</f>
        <v/>
      </c>
      <c r="C532" s="10">
        <f>IF(AND(Premissas!$B$10&gt;1,A532&lt;Premissas!$B$9),B532*Premissas!$B$10,B532)</f>
        <v/>
      </c>
      <c r="D532" s="12" t="n"/>
      <c r="E532" s="10">
        <f>Precos!J532</f>
        <v/>
      </c>
      <c r="F532" s="12" t="n"/>
    </row>
    <row r="533">
      <c r="A533" s="9">
        <f>Precos!A533</f>
        <v/>
      </c>
      <c r="B533" s="10">
        <f>INDEX(Precos!$B533:$I533,MATCH(Premissas!$B$8,Precos!$B$3:$I$3,0))</f>
        <v/>
      </c>
      <c r="C533" s="10">
        <f>IF(AND(Premissas!$B$10&gt;1,A533&lt;Premissas!$B$9),B533*Premissas!$B$10,B533)</f>
        <v/>
      </c>
      <c r="D533" s="12" t="n"/>
      <c r="E533" s="10">
        <f>Precos!J533</f>
        <v/>
      </c>
      <c r="F533" s="12" t="n"/>
    </row>
    <row r="534">
      <c r="A534" s="9">
        <f>Precos!A534</f>
        <v/>
      </c>
      <c r="B534" s="10">
        <f>INDEX(Precos!$B534:$I534,MATCH(Premissas!$B$8,Precos!$B$3:$I$3,0))</f>
        <v/>
      </c>
      <c r="C534" s="10">
        <f>IF(AND(Premissas!$B$10&gt;1,A534&lt;Premissas!$B$9),B534*Premissas!$B$10,B534)</f>
        <v/>
      </c>
      <c r="D534" s="12" t="n"/>
      <c r="E534" s="10">
        <f>Precos!J534</f>
        <v/>
      </c>
      <c r="F534" s="12" t="n"/>
    </row>
    <row r="535">
      <c r="A535" s="9">
        <f>Precos!A535</f>
        <v/>
      </c>
      <c r="B535" s="10">
        <f>INDEX(Precos!$B535:$I535,MATCH(Premissas!$B$8,Precos!$B$3:$I$3,0))</f>
        <v/>
      </c>
      <c r="C535" s="10">
        <f>IF(AND(Premissas!$B$10&gt;1,A535&lt;Premissas!$B$9),B535*Premissas!$B$10,B535)</f>
        <v/>
      </c>
      <c r="D535" s="12" t="n"/>
      <c r="E535" s="10">
        <f>Precos!J535</f>
        <v/>
      </c>
      <c r="F535" s="12" t="n"/>
    </row>
    <row r="536">
      <c r="A536" s="9">
        <f>Precos!A536</f>
        <v/>
      </c>
      <c r="B536" s="10">
        <f>INDEX(Precos!$B536:$I536,MATCH(Premissas!$B$8,Precos!$B$3:$I$3,0))</f>
        <v/>
      </c>
      <c r="C536" s="10">
        <f>IF(AND(Premissas!$B$10&gt;1,A536&lt;Premissas!$B$9),B536*Premissas!$B$10,B536)</f>
        <v/>
      </c>
      <c r="D536" s="12" t="n"/>
      <c r="E536" s="10">
        <f>Precos!J536</f>
        <v/>
      </c>
      <c r="F536" s="12" t="n"/>
    </row>
    <row r="537">
      <c r="A537" s="9">
        <f>Precos!A537</f>
        <v/>
      </c>
      <c r="B537" s="10">
        <f>INDEX(Precos!$B537:$I537,MATCH(Premissas!$B$8,Precos!$B$3:$I$3,0))</f>
        <v/>
      </c>
      <c r="C537" s="10">
        <f>IF(AND(Premissas!$B$10&gt;1,A537&lt;Premissas!$B$9),B537*Premissas!$B$10,B537)</f>
        <v/>
      </c>
      <c r="D537" s="12" t="n"/>
      <c r="E537" s="10">
        <f>Precos!J537</f>
        <v/>
      </c>
      <c r="F537" s="12" t="n"/>
    </row>
    <row r="538">
      <c r="A538" s="9">
        <f>Precos!A538</f>
        <v/>
      </c>
      <c r="B538" s="10">
        <f>INDEX(Precos!$B538:$I538,MATCH(Premissas!$B$8,Precos!$B$3:$I$3,0))</f>
        <v/>
      </c>
      <c r="C538" s="10">
        <f>IF(AND(Premissas!$B$10&gt;1,A538&lt;Premissas!$B$9),B538*Premissas!$B$10,B538)</f>
        <v/>
      </c>
      <c r="D538" s="12" t="n"/>
      <c r="E538" s="10">
        <f>Precos!J538</f>
        <v/>
      </c>
      <c r="F538" s="12" t="n"/>
    </row>
    <row r="539">
      <c r="A539" s="9">
        <f>Precos!A539</f>
        <v/>
      </c>
      <c r="B539" s="10">
        <f>INDEX(Precos!$B539:$I539,MATCH(Premissas!$B$8,Precos!$B$3:$I$3,0))</f>
        <v/>
      </c>
      <c r="C539" s="10">
        <f>IF(AND(Premissas!$B$10&gt;1,A539&lt;Premissas!$B$9),B539*Premissas!$B$10,B539)</f>
        <v/>
      </c>
      <c r="D539" s="12" t="n"/>
      <c r="E539" s="10">
        <f>Precos!J539</f>
        <v/>
      </c>
      <c r="F539" s="12" t="n"/>
    </row>
    <row r="540">
      <c r="A540" s="9">
        <f>Precos!A540</f>
        <v/>
      </c>
      <c r="B540" s="10">
        <f>INDEX(Precos!$B540:$I540,MATCH(Premissas!$B$8,Precos!$B$3:$I$3,0))</f>
        <v/>
      </c>
      <c r="C540" s="10">
        <f>IF(AND(Premissas!$B$10&gt;1,A540&lt;Premissas!$B$9),B540*Premissas!$B$10,B540)</f>
        <v/>
      </c>
      <c r="D540" s="12" t="n"/>
      <c r="E540" s="10">
        <f>Precos!J540</f>
        <v/>
      </c>
      <c r="F540" s="12" t="n"/>
    </row>
    <row r="541">
      <c r="A541" s="9">
        <f>Precos!A541</f>
        <v/>
      </c>
      <c r="B541" s="10">
        <f>INDEX(Precos!$B541:$I541,MATCH(Premissas!$B$8,Precos!$B$3:$I$3,0))</f>
        <v/>
      </c>
      <c r="C541" s="10">
        <f>IF(AND(Premissas!$B$10&gt;1,A541&lt;Premissas!$B$9),B541*Premissas!$B$10,B541)</f>
        <v/>
      </c>
      <c r="D541" s="12" t="n"/>
      <c r="E541" s="10">
        <f>Precos!J541</f>
        <v/>
      </c>
      <c r="F541" s="12" t="n"/>
    </row>
    <row r="542">
      <c r="A542" s="9">
        <f>Precos!A542</f>
        <v/>
      </c>
      <c r="B542" s="10">
        <f>INDEX(Precos!$B542:$I542,MATCH(Premissas!$B$8,Precos!$B$3:$I$3,0))</f>
        <v/>
      </c>
      <c r="C542" s="10">
        <f>IF(AND(Premissas!$B$10&gt;1,A542&lt;Premissas!$B$9),B542*Premissas!$B$10,B542)</f>
        <v/>
      </c>
      <c r="D542" s="12" t="n"/>
      <c r="E542" s="10">
        <f>Precos!J542</f>
        <v/>
      </c>
      <c r="F542" s="12" t="n"/>
    </row>
    <row r="543">
      <c r="A543" s="9">
        <f>Precos!A543</f>
        <v/>
      </c>
      <c r="B543" s="10">
        <f>INDEX(Precos!$B543:$I543,MATCH(Premissas!$B$8,Precos!$B$3:$I$3,0))</f>
        <v/>
      </c>
      <c r="C543" s="10">
        <f>IF(AND(Premissas!$B$10&gt;1,A543&lt;Premissas!$B$9),B543*Premissas!$B$10,B543)</f>
        <v/>
      </c>
      <c r="D543" s="12" t="n"/>
      <c r="E543" s="10">
        <f>Precos!J543</f>
        <v/>
      </c>
      <c r="F543" s="12" t="n"/>
    </row>
    <row r="544">
      <c r="A544" s="9">
        <f>Precos!A544</f>
        <v/>
      </c>
      <c r="B544" s="10">
        <f>INDEX(Precos!$B544:$I544,MATCH(Premissas!$B$8,Precos!$B$3:$I$3,0))</f>
        <v/>
      </c>
      <c r="C544" s="10">
        <f>IF(AND(Premissas!$B$10&gt;1,A544&lt;Premissas!$B$9),B544*Premissas!$B$10,B544)</f>
        <v/>
      </c>
      <c r="D544" s="12" t="n"/>
      <c r="E544" s="10">
        <f>Precos!J544</f>
        <v/>
      </c>
      <c r="F544" s="12" t="n"/>
    </row>
    <row r="545">
      <c r="A545" s="9">
        <f>Precos!A545</f>
        <v/>
      </c>
      <c r="B545" s="10">
        <f>INDEX(Precos!$B545:$I545,MATCH(Premissas!$B$8,Precos!$B$3:$I$3,0))</f>
        <v/>
      </c>
      <c r="C545" s="10">
        <f>IF(AND(Premissas!$B$10&gt;1,A545&lt;Premissas!$B$9),B545*Premissas!$B$10,B545)</f>
        <v/>
      </c>
      <c r="D545" s="12" t="n"/>
      <c r="E545" s="10">
        <f>Precos!J545</f>
        <v/>
      </c>
      <c r="F545" s="12" t="n"/>
    </row>
    <row r="546">
      <c r="A546" s="9">
        <f>Precos!A546</f>
        <v/>
      </c>
      <c r="B546" s="10">
        <f>INDEX(Precos!$B546:$I546,MATCH(Premissas!$B$8,Precos!$B$3:$I$3,0))</f>
        <v/>
      </c>
      <c r="C546" s="10">
        <f>IF(AND(Premissas!$B$10&gt;1,A546&lt;Premissas!$B$9),B546*Premissas!$B$10,B546)</f>
        <v/>
      </c>
      <c r="D546" s="12" t="n"/>
      <c r="E546" s="10">
        <f>Precos!J546</f>
        <v/>
      </c>
      <c r="F546" s="12" t="n"/>
    </row>
    <row r="547">
      <c r="A547" s="9">
        <f>Precos!A547</f>
        <v/>
      </c>
      <c r="B547" s="10">
        <f>INDEX(Precos!$B547:$I547,MATCH(Premissas!$B$8,Precos!$B$3:$I$3,0))</f>
        <v/>
      </c>
      <c r="C547" s="10">
        <f>IF(AND(Premissas!$B$10&gt;1,A547&lt;Premissas!$B$9),B547*Premissas!$B$10,B547)</f>
        <v/>
      </c>
      <c r="D547" s="12" t="n"/>
      <c r="E547" s="10">
        <f>Precos!J547</f>
        <v/>
      </c>
      <c r="F547" s="12" t="n"/>
    </row>
    <row r="548">
      <c r="A548" s="9">
        <f>Precos!A548</f>
        <v/>
      </c>
      <c r="B548" s="10">
        <f>INDEX(Precos!$B548:$I548,MATCH(Premissas!$B$8,Precos!$B$3:$I$3,0))</f>
        <v/>
      </c>
      <c r="C548" s="10">
        <f>IF(AND(Premissas!$B$10&gt;1,A548&lt;Premissas!$B$9),B548*Premissas!$B$10,B548)</f>
        <v/>
      </c>
      <c r="D548" s="12" t="n"/>
      <c r="E548" s="10">
        <f>Precos!J548</f>
        <v/>
      </c>
      <c r="F548" s="12" t="n"/>
    </row>
    <row r="549">
      <c r="A549" s="9">
        <f>Precos!A549</f>
        <v/>
      </c>
      <c r="B549" s="10">
        <f>INDEX(Precos!$B549:$I549,MATCH(Premissas!$B$8,Precos!$B$3:$I$3,0))</f>
        <v/>
      </c>
      <c r="C549" s="10">
        <f>IF(AND(Premissas!$B$10&gt;1,A549&lt;Premissas!$B$9),B549*Premissas!$B$10,B549)</f>
        <v/>
      </c>
      <c r="D549" s="12" t="n"/>
      <c r="E549" s="10">
        <f>Precos!J549</f>
        <v/>
      </c>
      <c r="F549" s="12" t="n"/>
    </row>
    <row r="550">
      <c r="A550" s="9">
        <f>Precos!A550</f>
        <v/>
      </c>
      <c r="B550" s="10">
        <f>INDEX(Precos!$B550:$I550,MATCH(Premissas!$B$8,Precos!$B$3:$I$3,0))</f>
        <v/>
      </c>
      <c r="C550" s="10">
        <f>IF(AND(Premissas!$B$10&gt;1,A550&lt;Premissas!$B$9),B550*Premissas!$B$10,B550)</f>
        <v/>
      </c>
      <c r="D550" s="12" t="n"/>
      <c r="E550" s="10">
        <f>Precos!J550</f>
        <v/>
      </c>
      <c r="F550" s="12" t="n"/>
    </row>
    <row r="551">
      <c r="A551" s="9">
        <f>Precos!A551</f>
        <v/>
      </c>
      <c r="B551" s="10">
        <f>INDEX(Precos!$B551:$I551,MATCH(Premissas!$B$8,Precos!$B$3:$I$3,0))</f>
        <v/>
      </c>
      <c r="C551" s="10">
        <f>IF(AND(Premissas!$B$10&gt;1,A551&lt;Premissas!$B$9),B551*Premissas!$B$10,B551)</f>
        <v/>
      </c>
      <c r="D551" s="12" t="n"/>
      <c r="E551" s="10">
        <f>Precos!J551</f>
        <v/>
      </c>
      <c r="F551" s="12" t="n"/>
    </row>
    <row r="552">
      <c r="A552" s="9">
        <f>Precos!A552</f>
        <v/>
      </c>
      <c r="B552" s="10">
        <f>INDEX(Precos!$B552:$I552,MATCH(Premissas!$B$8,Precos!$B$3:$I$3,0))</f>
        <v/>
      </c>
      <c r="C552" s="10">
        <f>IF(AND(Premissas!$B$10&gt;1,A552&lt;Premissas!$B$9),B552*Premissas!$B$10,B552)</f>
        <v/>
      </c>
      <c r="D552" s="12" t="n"/>
      <c r="E552" s="10">
        <f>Precos!J552</f>
        <v/>
      </c>
      <c r="F552" s="12" t="n"/>
    </row>
    <row r="553">
      <c r="A553" s="9">
        <f>Precos!A553</f>
        <v/>
      </c>
      <c r="B553" s="10">
        <f>INDEX(Precos!$B553:$I553,MATCH(Premissas!$B$8,Precos!$B$3:$I$3,0))</f>
        <v/>
      </c>
      <c r="C553" s="10">
        <f>IF(AND(Premissas!$B$10&gt;1,A553&lt;Premissas!$B$9),B553*Premissas!$B$10,B553)</f>
        <v/>
      </c>
      <c r="D553" s="12" t="n"/>
      <c r="E553" s="10">
        <f>Precos!J553</f>
        <v/>
      </c>
      <c r="F553" s="12" t="n"/>
    </row>
    <row r="554">
      <c r="A554" s="9">
        <f>Precos!A554</f>
        <v/>
      </c>
      <c r="B554" s="10">
        <f>INDEX(Precos!$B554:$I554,MATCH(Premissas!$B$8,Precos!$B$3:$I$3,0))</f>
        <v/>
      </c>
      <c r="C554" s="10">
        <f>IF(AND(Premissas!$B$10&gt;1,A554&lt;Premissas!$B$9),B554*Premissas!$B$10,B554)</f>
        <v/>
      </c>
      <c r="D554" s="12" t="n"/>
      <c r="E554" s="10">
        <f>Precos!J554</f>
        <v/>
      </c>
      <c r="F554" s="12" t="n"/>
    </row>
    <row r="555">
      <c r="A555" s="9">
        <f>Precos!A555</f>
        <v/>
      </c>
      <c r="B555" s="10">
        <f>INDEX(Precos!$B555:$I555,MATCH(Premissas!$B$8,Precos!$B$3:$I$3,0))</f>
        <v/>
      </c>
      <c r="C555" s="10">
        <f>IF(AND(Premissas!$B$10&gt;1,A555&lt;Premissas!$B$9),B555*Premissas!$B$10,B555)</f>
        <v/>
      </c>
      <c r="D555" s="12" t="n"/>
      <c r="E555" s="10">
        <f>Precos!J555</f>
        <v/>
      </c>
      <c r="F555" s="12" t="n"/>
    </row>
    <row r="556">
      <c r="A556" s="9">
        <f>Precos!A556</f>
        <v/>
      </c>
      <c r="B556" s="10">
        <f>INDEX(Precos!$B556:$I556,MATCH(Premissas!$B$8,Precos!$B$3:$I$3,0))</f>
        <v/>
      </c>
      <c r="C556" s="10">
        <f>IF(AND(Premissas!$B$10&gt;1,A556&lt;Premissas!$B$9),B556*Premissas!$B$10,B556)</f>
        <v/>
      </c>
      <c r="D556" s="12" t="n"/>
      <c r="E556" s="10">
        <f>Precos!J556</f>
        <v/>
      </c>
      <c r="F556" s="12" t="n"/>
    </row>
    <row r="557">
      <c r="A557" s="9">
        <f>Precos!A557</f>
        <v/>
      </c>
      <c r="B557" s="10">
        <f>INDEX(Precos!$B557:$I557,MATCH(Premissas!$B$8,Precos!$B$3:$I$3,0))</f>
        <v/>
      </c>
      <c r="C557" s="10">
        <f>IF(AND(Premissas!$B$10&gt;1,A557&lt;Premissas!$B$9),B557*Premissas!$B$10,B557)</f>
        <v/>
      </c>
      <c r="D557" s="12" t="n"/>
      <c r="E557" s="10">
        <f>Precos!J557</f>
        <v/>
      </c>
      <c r="F557" s="12" t="n"/>
    </row>
    <row r="558">
      <c r="A558" s="9">
        <f>Precos!A558</f>
        <v/>
      </c>
      <c r="B558" s="10">
        <f>INDEX(Precos!$B558:$I558,MATCH(Premissas!$B$8,Precos!$B$3:$I$3,0))</f>
        <v/>
      </c>
      <c r="C558" s="10">
        <f>IF(AND(Premissas!$B$10&gt;1,A558&lt;Premissas!$B$9),B558*Premissas!$B$10,B558)</f>
        <v/>
      </c>
      <c r="D558" s="12" t="n"/>
      <c r="E558" s="10">
        <f>Precos!J558</f>
        <v/>
      </c>
      <c r="F558" s="12" t="n"/>
    </row>
    <row r="559">
      <c r="A559" s="9">
        <f>Precos!A559</f>
        <v/>
      </c>
      <c r="B559" s="10">
        <f>INDEX(Precos!$B559:$I559,MATCH(Premissas!$B$8,Precos!$B$3:$I$3,0))</f>
        <v/>
      </c>
      <c r="C559" s="10">
        <f>IF(AND(Premissas!$B$10&gt;1,A559&lt;Premissas!$B$9),B559*Premissas!$B$10,B559)</f>
        <v/>
      </c>
      <c r="D559" s="12" t="n"/>
      <c r="E559" s="10">
        <f>Precos!J559</f>
        <v/>
      </c>
      <c r="F559" s="12" t="n"/>
    </row>
    <row r="560">
      <c r="A560" s="9">
        <f>Precos!A560</f>
        <v/>
      </c>
      <c r="B560" s="10">
        <f>INDEX(Precos!$B560:$I560,MATCH(Premissas!$B$8,Precos!$B$3:$I$3,0))</f>
        <v/>
      </c>
      <c r="C560" s="10">
        <f>IF(AND(Premissas!$B$10&gt;1,A560&lt;Premissas!$B$9),B560*Premissas!$B$10,B560)</f>
        <v/>
      </c>
      <c r="D560" s="12" t="n"/>
      <c r="E560" s="10">
        <f>Precos!J560</f>
        <v/>
      </c>
      <c r="F560" s="12" t="n"/>
    </row>
    <row r="561">
      <c r="A561" s="9">
        <f>Precos!A561</f>
        <v/>
      </c>
      <c r="B561" s="10">
        <f>INDEX(Precos!$B561:$I561,MATCH(Premissas!$B$8,Precos!$B$3:$I$3,0))</f>
        <v/>
      </c>
      <c r="C561" s="10">
        <f>IF(AND(Premissas!$B$10&gt;1,A561&lt;Premissas!$B$9),B561*Premissas!$B$10,B561)</f>
        <v/>
      </c>
      <c r="D561" s="12" t="n"/>
      <c r="E561" s="10">
        <f>Precos!J561</f>
        <v/>
      </c>
      <c r="F561" s="12" t="n"/>
    </row>
    <row r="562">
      <c r="A562" s="9">
        <f>Precos!A562</f>
        <v/>
      </c>
      <c r="B562" s="10">
        <f>INDEX(Precos!$B562:$I562,MATCH(Premissas!$B$8,Precos!$B$3:$I$3,0))</f>
        <v/>
      </c>
      <c r="C562" s="10">
        <f>IF(AND(Premissas!$B$10&gt;1,A562&lt;Premissas!$B$9),B562*Premissas!$B$10,B562)</f>
        <v/>
      </c>
      <c r="D562" s="12" t="n"/>
      <c r="E562" s="10">
        <f>Precos!J562</f>
        <v/>
      </c>
      <c r="F562" s="12" t="n"/>
    </row>
    <row r="563">
      <c r="A563" s="9">
        <f>Precos!A563</f>
        <v/>
      </c>
      <c r="B563" s="10">
        <f>INDEX(Precos!$B563:$I563,MATCH(Premissas!$B$8,Precos!$B$3:$I$3,0))</f>
        <v/>
      </c>
      <c r="C563" s="10">
        <f>IF(AND(Premissas!$B$10&gt;1,A563&lt;Premissas!$B$9),B563*Premissas!$B$10,B563)</f>
        <v/>
      </c>
      <c r="D563" s="12" t="n"/>
      <c r="E563" s="10">
        <f>Precos!J563</f>
        <v/>
      </c>
      <c r="F563" s="12" t="n"/>
    </row>
    <row r="564">
      <c r="A564" s="9">
        <f>Precos!A564</f>
        <v/>
      </c>
      <c r="B564" s="10">
        <f>INDEX(Precos!$B564:$I564,MATCH(Premissas!$B$8,Precos!$B$3:$I$3,0))</f>
        <v/>
      </c>
      <c r="C564" s="10">
        <f>IF(AND(Premissas!$B$10&gt;1,A564&lt;Premissas!$B$9),B564*Premissas!$B$10,B564)</f>
        <v/>
      </c>
      <c r="D564" s="12" t="n"/>
      <c r="E564" s="10">
        <f>Precos!J564</f>
        <v/>
      </c>
      <c r="F564" s="12" t="n"/>
    </row>
    <row r="565">
      <c r="A565" s="9">
        <f>Precos!A565</f>
        <v/>
      </c>
      <c r="B565" s="10">
        <f>INDEX(Precos!$B565:$I565,MATCH(Premissas!$B$8,Precos!$B$3:$I$3,0))</f>
        <v/>
      </c>
      <c r="C565" s="10">
        <f>IF(AND(Premissas!$B$10&gt;1,A565&lt;Premissas!$B$9),B565*Premissas!$B$10,B565)</f>
        <v/>
      </c>
      <c r="D565" s="12" t="n"/>
      <c r="E565" s="10">
        <f>Precos!J565</f>
        <v/>
      </c>
      <c r="F565" s="12" t="n"/>
    </row>
    <row r="566">
      <c r="A566" s="9">
        <f>Precos!A566</f>
        <v/>
      </c>
      <c r="B566" s="10">
        <f>INDEX(Precos!$B566:$I566,MATCH(Premissas!$B$8,Precos!$B$3:$I$3,0))</f>
        <v/>
      </c>
      <c r="C566" s="10">
        <f>IF(AND(Premissas!$B$10&gt;1,A566&lt;Premissas!$B$9),B566*Premissas!$B$10,B566)</f>
        <v/>
      </c>
      <c r="D566" s="12" t="n"/>
      <c r="E566" s="10">
        <f>Precos!J566</f>
        <v/>
      </c>
      <c r="F566" s="12" t="n"/>
    </row>
    <row r="567">
      <c r="A567" s="9">
        <f>Precos!A567</f>
        <v/>
      </c>
      <c r="B567" s="10">
        <f>INDEX(Precos!$B567:$I567,MATCH(Premissas!$B$8,Precos!$B$3:$I$3,0))</f>
        <v/>
      </c>
      <c r="C567" s="10">
        <f>IF(AND(Premissas!$B$10&gt;1,A567&lt;Premissas!$B$9),B567*Premissas!$B$10,B567)</f>
        <v/>
      </c>
      <c r="D567" s="12" t="n"/>
      <c r="E567" s="10">
        <f>Precos!J567</f>
        <v/>
      </c>
      <c r="F567" s="12" t="n"/>
    </row>
    <row r="568">
      <c r="A568" s="9">
        <f>Precos!A568</f>
        <v/>
      </c>
      <c r="B568" s="10">
        <f>INDEX(Precos!$B568:$I568,MATCH(Premissas!$B$8,Precos!$B$3:$I$3,0))</f>
        <v/>
      </c>
      <c r="C568" s="10">
        <f>IF(AND(Premissas!$B$10&gt;1,A568&lt;Premissas!$B$9),B568*Premissas!$B$10,B568)</f>
        <v/>
      </c>
      <c r="D568" s="12" t="n"/>
      <c r="E568" s="10">
        <f>Precos!J568</f>
        <v/>
      </c>
      <c r="F568" s="12" t="n"/>
    </row>
    <row r="569">
      <c r="A569" s="9">
        <f>Precos!A569</f>
        <v/>
      </c>
      <c r="B569" s="10">
        <f>INDEX(Precos!$B569:$I569,MATCH(Premissas!$B$8,Precos!$B$3:$I$3,0))</f>
        <v/>
      </c>
      <c r="C569" s="10">
        <f>IF(AND(Premissas!$B$10&gt;1,A569&lt;Premissas!$B$9),B569*Premissas!$B$10,B569)</f>
        <v/>
      </c>
      <c r="D569" s="12" t="n"/>
      <c r="E569" s="10">
        <f>Precos!J569</f>
        <v/>
      </c>
      <c r="F569" s="12" t="n"/>
    </row>
    <row r="570">
      <c r="A570" s="9">
        <f>Precos!A570</f>
        <v/>
      </c>
      <c r="B570" s="10">
        <f>INDEX(Precos!$B570:$I570,MATCH(Premissas!$B$8,Precos!$B$3:$I$3,0))</f>
        <v/>
      </c>
      <c r="C570" s="10">
        <f>IF(AND(Premissas!$B$10&gt;1,A570&lt;Premissas!$B$9),B570*Premissas!$B$10,B570)</f>
        <v/>
      </c>
      <c r="D570" s="12" t="n"/>
      <c r="E570" s="10">
        <f>Precos!J570</f>
        <v/>
      </c>
      <c r="F570" s="12" t="n"/>
    </row>
    <row r="571">
      <c r="A571" s="9">
        <f>Precos!A571</f>
        <v/>
      </c>
      <c r="B571" s="10">
        <f>INDEX(Precos!$B571:$I571,MATCH(Premissas!$B$8,Precos!$B$3:$I$3,0))</f>
        <v/>
      </c>
      <c r="C571" s="10">
        <f>IF(AND(Premissas!$B$10&gt;1,A571&lt;Premissas!$B$9),B571*Premissas!$B$10,B571)</f>
        <v/>
      </c>
      <c r="D571" s="12" t="n"/>
      <c r="E571" s="10">
        <f>Precos!J571</f>
        <v/>
      </c>
      <c r="F571" s="12" t="n"/>
    </row>
    <row r="572">
      <c r="A572" s="9">
        <f>Precos!A572</f>
        <v/>
      </c>
      <c r="B572" s="10">
        <f>INDEX(Precos!$B572:$I572,MATCH(Premissas!$B$8,Precos!$B$3:$I$3,0))</f>
        <v/>
      </c>
      <c r="C572" s="10">
        <f>IF(AND(Premissas!$B$10&gt;1,A572&lt;Premissas!$B$9),B572*Premissas!$B$10,B572)</f>
        <v/>
      </c>
      <c r="D572" s="12" t="n"/>
      <c r="E572" s="10">
        <f>Precos!J572</f>
        <v/>
      </c>
      <c r="F572" s="12" t="n"/>
    </row>
    <row r="573">
      <c r="A573" s="9">
        <f>Precos!A573</f>
        <v/>
      </c>
      <c r="B573" s="10">
        <f>INDEX(Precos!$B573:$I573,MATCH(Premissas!$B$8,Precos!$B$3:$I$3,0))</f>
        <v/>
      </c>
      <c r="C573" s="10">
        <f>IF(AND(Premissas!$B$10&gt;1,A573&lt;Premissas!$B$9),B573*Premissas!$B$10,B573)</f>
        <v/>
      </c>
      <c r="D573" s="12" t="n"/>
      <c r="E573" s="10">
        <f>Precos!J573</f>
        <v/>
      </c>
      <c r="F573" s="12" t="n"/>
    </row>
    <row r="574">
      <c r="A574" s="9">
        <f>Precos!A574</f>
        <v/>
      </c>
      <c r="B574" s="10">
        <f>INDEX(Precos!$B574:$I574,MATCH(Premissas!$B$8,Precos!$B$3:$I$3,0))</f>
        <v/>
      </c>
      <c r="C574" s="10">
        <f>IF(AND(Premissas!$B$10&gt;1,A574&lt;Premissas!$B$9),B574*Premissas!$B$10,B574)</f>
        <v/>
      </c>
      <c r="D574" s="12" t="n"/>
      <c r="E574" s="10">
        <f>Precos!J574</f>
        <v/>
      </c>
      <c r="F574" s="12" t="n"/>
    </row>
    <row r="575">
      <c r="A575" s="9">
        <f>Precos!A575</f>
        <v/>
      </c>
      <c r="B575" s="10">
        <f>INDEX(Precos!$B575:$I575,MATCH(Premissas!$B$8,Precos!$B$3:$I$3,0))</f>
        <v/>
      </c>
      <c r="C575" s="10">
        <f>IF(AND(Premissas!$B$10&gt;1,A575&lt;Premissas!$B$9),B575*Premissas!$B$10,B575)</f>
        <v/>
      </c>
      <c r="D575" s="12" t="n"/>
      <c r="E575" s="10">
        <f>Precos!J575</f>
        <v/>
      </c>
      <c r="F575" s="12" t="n"/>
    </row>
    <row r="576">
      <c r="A576" s="9">
        <f>Precos!A576</f>
        <v/>
      </c>
      <c r="B576" s="10">
        <f>INDEX(Precos!$B576:$I576,MATCH(Premissas!$B$8,Precos!$B$3:$I$3,0))</f>
        <v/>
      </c>
      <c r="C576" s="10">
        <f>IF(AND(Premissas!$B$10&gt;1,A576&lt;Premissas!$B$9),B576*Premissas!$B$10,B576)</f>
        <v/>
      </c>
      <c r="D576" s="12" t="n"/>
      <c r="E576" s="10">
        <f>Precos!J576</f>
        <v/>
      </c>
      <c r="F576" s="12" t="n"/>
    </row>
    <row r="577">
      <c r="A577" s="9">
        <f>Precos!A577</f>
        <v/>
      </c>
      <c r="B577" s="10">
        <f>INDEX(Precos!$B577:$I577,MATCH(Premissas!$B$8,Precos!$B$3:$I$3,0))</f>
        <v/>
      </c>
      <c r="C577" s="10">
        <f>IF(AND(Premissas!$B$10&gt;1,A577&lt;Premissas!$B$9),B577*Premissas!$B$10,B577)</f>
        <v/>
      </c>
      <c r="D577" s="12" t="n"/>
      <c r="E577" s="10">
        <f>Precos!J577</f>
        <v/>
      </c>
      <c r="F577" s="12" t="n"/>
    </row>
    <row r="578">
      <c r="A578" s="9">
        <f>Precos!A578</f>
        <v/>
      </c>
      <c r="B578" s="10">
        <f>INDEX(Precos!$B578:$I578,MATCH(Premissas!$B$8,Precos!$B$3:$I$3,0))</f>
        <v/>
      </c>
      <c r="C578" s="10">
        <f>IF(AND(Premissas!$B$10&gt;1,A578&lt;Premissas!$B$9),B578*Premissas!$B$10,B578)</f>
        <v/>
      </c>
      <c r="D578" s="12" t="n"/>
      <c r="E578" s="10">
        <f>Precos!J578</f>
        <v/>
      </c>
      <c r="F578" s="12" t="n"/>
    </row>
    <row r="579">
      <c r="A579" s="9">
        <f>Precos!A579</f>
        <v/>
      </c>
      <c r="B579" s="10">
        <f>INDEX(Precos!$B579:$I579,MATCH(Premissas!$B$8,Precos!$B$3:$I$3,0))</f>
        <v/>
      </c>
      <c r="C579" s="10">
        <f>IF(AND(Premissas!$B$10&gt;1,A579&lt;Premissas!$B$9),B579*Premissas!$B$10,B579)</f>
        <v/>
      </c>
      <c r="D579" s="12" t="n"/>
      <c r="E579" s="10">
        <f>Precos!J579</f>
        <v/>
      </c>
      <c r="F579" s="12" t="n"/>
    </row>
    <row r="580">
      <c r="A580" s="9">
        <f>Precos!A580</f>
        <v/>
      </c>
      <c r="B580" s="10">
        <f>INDEX(Precos!$B580:$I580,MATCH(Premissas!$B$8,Precos!$B$3:$I$3,0))</f>
        <v/>
      </c>
      <c r="C580" s="10">
        <f>IF(AND(Premissas!$B$10&gt;1,A580&lt;Premissas!$B$9),B580*Premissas!$B$10,B580)</f>
        <v/>
      </c>
      <c r="D580" s="12" t="n"/>
      <c r="E580" s="10">
        <f>Precos!J580</f>
        <v/>
      </c>
      <c r="F580" s="12" t="n"/>
    </row>
    <row r="581">
      <c r="A581" s="9">
        <f>Precos!A581</f>
        <v/>
      </c>
      <c r="B581" s="10">
        <f>INDEX(Precos!$B581:$I581,MATCH(Premissas!$B$8,Precos!$B$3:$I$3,0))</f>
        <v/>
      </c>
      <c r="C581" s="10">
        <f>IF(AND(Premissas!$B$10&gt;1,A581&lt;Premissas!$B$9),B581*Premissas!$B$10,B581)</f>
        <v/>
      </c>
      <c r="D581" s="12" t="n"/>
      <c r="E581" s="10">
        <f>Precos!J581</f>
        <v/>
      </c>
      <c r="F581" s="12" t="n"/>
    </row>
    <row r="582">
      <c r="A582" s="9">
        <f>Precos!A582</f>
        <v/>
      </c>
      <c r="B582" s="10">
        <f>INDEX(Precos!$B582:$I582,MATCH(Premissas!$B$8,Precos!$B$3:$I$3,0))</f>
        <v/>
      </c>
      <c r="C582" s="10">
        <f>IF(AND(Premissas!$B$10&gt;1,A582&lt;Premissas!$B$9),B582*Premissas!$B$10,B582)</f>
        <v/>
      </c>
      <c r="D582" s="12" t="n"/>
      <c r="E582" s="10">
        <f>Precos!J582</f>
        <v/>
      </c>
      <c r="F582" s="12" t="n"/>
    </row>
    <row r="583">
      <c r="A583" s="9">
        <f>Precos!A583</f>
        <v/>
      </c>
      <c r="B583" s="10">
        <f>INDEX(Precos!$B583:$I583,MATCH(Premissas!$B$8,Precos!$B$3:$I$3,0))</f>
        <v/>
      </c>
      <c r="C583" s="10">
        <f>IF(AND(Premissas!$B$10&gt;1,A583&lt;Premissas!$B$9),B583*Premissas!$B$10,B583)</f>
        <v/>
      </c>
      <c r="D583" s="12" t="n"/>
      <c r="E583" s="10">
        <f>Precos!J583</f>
        <v/>
      </c>
      <c r="F583" s="12" t="n"/>
    </row>
    <row r="584">
      <c r="A584" s="9">
        <f>Precos!A584</f>
        <v/>
      </c>
      <c r="B584" s="10">
        <f>INDEX(Precos!$B584:$I584,MATCH(Premissas!$B$8,Precos!$B$3:$I$3,0))</f>
        <v/>
      </c>
      <c r="C584" s="10">
        <f>IF(AND(Premissas!$B$10&gt;1,A584&lt;Premissas!$B$9),B584*Premissas!$B$10,B584)</f>
        <v/>
      </c>
      <c r="D584" s="12" t="n"/>
      <c r="E584" s="10">
        <f>Precos!J584</f>
        <v/>
      </c>
      <c r="F584" s="12" t="n"/>
    </row>
    <row r="585">
      <c r="A585" s="9">
        <f>Precos!A585</f>
        <v/>
      </c>
      <c r="B585" s="10">
        <f>INDEX(Precos!$B585:$I585,MATCH(Premissas!$B$8,Precos!$B$3:$I$3,0))</f>
        <v/>
      </c>
      <c r="C585" s="10">
        <f>IF(AND(Premissas!$B$10&gt;1,A585&lt;Premissas!$B$9),B585*Premissas!$B$10,B585)</f>
        <v/>
      </c>
      <c r="D585" s="12" t="n"/>
      <c r="E585" s="10">
        <f>Precos!J585</f>
        <v/>
      </c>
      <c r="F585" s="12" t="n"/>
    </row>
    <row r="586">
      <c r="A586" s="9">
        <f>Precos!A586</f>
        <v/>
      </c>
      <c r="B586" s="10">
        <f>INDEX(Precos!$B586:$I586,MATCH(Premissas!$B$8,Precos!$B$3:$I$3,0))</f>
        <v/>
      </c>
      <c r="C586" s="10">
        <f>IF(AND(Premissas!$B$10&gt;1,A586&lt;Premissas!$B$9),B586*Premissas!$B$10,B586)</f>
        <v/>
      </c>
      <c r="D586" s="12" t="n"/>
      <c r="E586" s="10">
        <f>Precos!J586</f>
        <v/>
      </c>
      <c r="F586" s="12" t="n"/>
    </row>
    <row r="587">
      <c r="A587" s="9">
        <f>Precos!A587</f>
        <v/>
      </c>
      <c r="B587" s="10">
        <f>INDEX(Precos!$B587:$I587,MATCH(Premissas!$B$8,Precos!$B$3:$I$3,0))</f>
        <v/>
      </c>
      <c r="C587" s="10">
        <f>IF(AND(Premissas!$B$10&gt;1,A587&lt;Premissas!$B$9),B587*Premissas!$B$10,B587)</f>
        <v/>
      </c>
      <c r="D587" s="12" t="n"/>
      <c r="E587" s="10">
        <f>Precos!J587</f>
        <v/>
      </c>
      <c r="F587" s="12" t="n"/>
    </row>
    <row r="588">
      <c r="A588" s="9">
        <f>Precos!A588</f>
        <v/>
      </c>
      <c r="B588" s="10">
        <f>INDEX(Precos!$B588:$I588,MATCH(Premissas!$B$8,Precos!$B$3:$I$3,0))</f>
        <v/>
      </c>
      <c r="C588" s="10">
        <f>IF(AND(Premissas!$B$10&gt;1,A588&lt;Premissas!$B$9),B588*Premissas!$B$10,B588)</f>
        <v/>
      </c>
      <c r="D588" s="12" t="n"/>
      <c r="E588" s="10">
        <f>Precos!J588</f>
        <v/>
      </c>
      <c r="F588" s="12" t="n"/>
    </row>
    <row r="589">
      <c r="A589" s="9">
        <f>Precos!A589</f>
        <v/>
      </c>
      <c r="B589" s="10">
        <f>INDEX(Precos!$B589:$I589,MATCH(Premissas!$B$8,Precos!$B$3:$I$3,0))</f>
        <v/>
      </c>
      <c r="C589" s="10">
        <f>IF(AND(Premissas!$B$10&gt;1,A589&lt;Premissas!$B$9),B589*Premissas!$B$10,B589)</f>
        <v/>
      </c>
      <c r="D589" s="12" t="n"/>
      <c r="E589" s="10">
        <f>Precos!J589</f>
        <v/>
      </c>
      <c r="F589" s="12" t="n"/>
    </row>
    <row r="590">
      <c r="A590" s="9">
        <f>Precos!A590</f>
        <v/>
      </c>
      <c r="B590" s="10">
        <f>INDEX(Precos!$B590:$I590,MATCH(Premissas!$B$8,Precos!$B$3:$I$3,0))</f>
        <v/>
      </c>
      <c r="C590" s="10">
        <f>IF(AND(Premissas!$B$10&gt;1,A590&lt;Premissas!$B$9),B590*Premissas!$B$10,B590)</f>
        <v/>
      </c>
      <c r="D590" s="12" t="n"/>
      <c r="E590" s="10">
        <f>Precos!J590</f>
        <v/>
      </c>
      <c r="F590" s="12" t="n"/>
    </row>
    <row r="591">
      <c r="A591" s="9">
        <f>Precos!A591</f>
        <v/>
      </c>
      <c r="B591" s="10">
        <f>INDEX(Precos!$B591:$I591,MATCH(Premissas!$B$8,Precos!$B$3:$I$3,0))</f>
        <v/>
      </c>
      <c r="C591" s="10">
        <f>IF(AND(Premissas!$B$10&gt;1,A591&lt;Premissas!$B$9),B591*Premissas!$B$10,B591)</f>
        <v/>
      </c>
      <c r="D591" s="12" t="n"/>
      <c r="E591" s="10">
        <f>Precos!J591</f>
        <v/>
      </c>
      <c r="F591" s="12" t="n"/>
    </row>
    <row r="592">
      <c r="A592" s="9">
        <f>Precos!A592</f>
        <v/>
      </c>
      <c r="B592" s="10">
        <f>INDEX(Precos!$B592:$I592,MATCH(Premissas!$B$8,Precos!$B$3:$I$3,0))</f>
        <v/>
      </c>
      <c r="C592" s="10">
        <f>IF(AND(Premissas!$B$10&gt;1,A592&lt;Premissas!$B$9),B592*Premissas!$B$10,B592)</f>
        <v/>
      </c>
      <c r="D592" s="12" t="n"/>
      <c r="E592" s="10">
        <f>Precos!J592</f>
        <v/>
      </c>
      <c r="F592" s="12" t="n"/>
    </row>
    <row r="593">
      <c r="A593" s="9">
        <f>Precos!A593</f>
        <v/>
      </c>
      <c r="B593" s="10">
        <f>INDEX(Precos!$B593:$I593,MATCH(Premissas!$B$8,Precos!$B$3:$I$3,0))</f>
        <v/>
      </c>
      <c r="C593" s="10">
        <f>IF(AND(Premissas!$B$10&gt;1,A593&lt;Premissas!$B$9),B593*Premissas!$B$10,B593)</f>
        <v/>
      </c>
      <c r="D593" s="12" t="n"/>
      <c r="E593" s="10">
        <f>Precos!J593</f>
        <v/>
      </c>
      <c r="F593" s="12" t="n"/>
    </row>
    <row r="594">
      <c r="A594" s="9">
        <f>Precos!A594</f>
        <v/>
      </c>
      <c r="B594" s="10">
        <f>INDEX(Precos!$B594:$I594,MATCH(Premissas!$B$8,Precos!$B$3:$I$3,0))</f>
        <v/>
      </c>
      <c r="C594" s="10">
        <f>IF(AND(Premissas!$B$10&gt;1,A594&lt;Premissas!$B$9),B594*Premissas!$B$10,B594)</f>
        <v/>
      </c>
      <c r="D594" s="12" t="n"/>
      <c r="E594" s="10">
        <f>Precos!J594</f>
        <v/>
      </c>
      <c r="F594" s="12" t="n"/>
    </row>
    <row r="595">
      <c r="A595" s="9">
        <f>Precos!A595</f>
        <v/>
      </c>
      <c r="B595" s="10">
        <f>INDEX(Precos!$B595:$I595,MATCH(Premissas!$B$8,Precos!$B$3:$I$3,0))</f>
        <v/>
      </c>
      <c r="C595" s="10">
        <f>IF(AND(Premissas!$B$10&gt;1,A595&lt;Premissas!$B$9),B595*Premissas!$B$10,B595)</f>
        <v/>
      </c>
      <c r="D595" s="12" t="n"/>
      <c r="E595" s="10">
        <f>Precos!J595</f>
        <v/>
      </c>
      <c r="F595" s="12" t="n"/>
    </row>
    <row r="596">
      <c r="A596" s="9">
        <f>Precos!A596</f>
        <v/>
      </c>
      <c r="B596" s="10">
        <f>INDEX(Precos!$B596:$I596,MATCH(Premissas!$B$8,Precos!$B$3:$I$3,0))</f>
        <v/>
      </c>
      <c r="C596" s="10">
        <f>IF(AND(Premissas!$B$10&gt;1,A596&lt;Premissas!$B$9),B596*Premissas!$B$10,B596)</f>
        <v/>
      </c>
      <c r="D596" s="12" t="n"/>
      <c r="E596" s="10">
        <f>Precos!J596</f>
        <v/>
      </c>
      <c r="F596" s="12" t="n"/>
    </row>
    <row r="597">
      <c r="A597" s="9">
        <f>Precos!A597</f>
        <v/>
      </c>
      <c r="B597" s="10">
        <f>INDEX(Precos!$B597:$I597,MATCH(Premissas!$B$8,Precos!$B$3:$I$3,0))</f>
        <v/>
      </c>
      <c r="C597" s="10">
        <f>IF(AND(Premissas!$B$10&gt;1,A597&lt;Premissas!$B$9),B597*Premissas!$B$10,B597)</f>
        <v/>
      </c>
      <c r="D597" s="12" t="n"/>
      <c r="E597" s="10">
        <f>Precos!J597</f>
        <v/>
      </c>
      <c r="F597" s="12" t="n"/>
    </row>
    <row r="598">
      <c r="A598" s="9">
        <f>Precos!A598</f>
        <v/>
      </c>
      <c r="B598" s="10">
        <f>INDEX(Precos!$B598:$I598,MATCH(Premissas!$B$8,Precos!$B$3:$I$3,0))</f>
        <v/>
      </c>
      <c r="C598" s="10">
        <f>IF(AND(Premissas!$B$10&gt;1,A598&lt;Premissas!$B$9),B598*Premissas!$B$10,B598)</f>
        <v/>
      </c>
      <c r="D598" s="12" t="n"/>
      <c r="E598" s="10">
        <f>Precos!J598</f>
        <v/>
      </c>
      <c r="F598" s="12" t="n"/>
    </row>
    <row r="599">
      <c r="A599" s="9">
        <f>Precos!A599</f>
        <v/>
      </c>
      <c r="B599" s="10">
        <f>INDEX(Precos!$B599:$I599,MATCH(Premissas!$B$8,Precos!$B$3:$I$3,0))</f>
        <v/>
      </c>
      <c r="C599" s="10">
        <f>IF(AND(Premissas!$B$10&gt;1,A599&lt;Premissas!$B$9),B599*Premissas!$B$10,B599)</f>
        <v/>
      </c>
      <c r="D599" s="12" t="n"/>
      <c r="E599" s="10">
        <f>Precos!J599</f>
        <v/>
      </c>
      <c r="F599" s="12" t="n"/>
    </row>
    <row r="600">
      <c r="A600" s="9">
        <f>Precos!A600</f>
        <v/>
      </c>
      <c r="B600" s="10">
        <f>INDEX(Precos!$B600:$I600,MATCH(Premissas!$B$8,Precos!$B$3:$I$3,0))</f>
        <v/>
      </c>
      <c r="C600" s="10">
        <f>IF(AND(Premissas!$B$10&gt;1,A600&lt;Premissas!$B$9),B600*Premissas!$B$10,B600)</f>
        <v/>
      </c>
      <c r="D600" s="12" t="n"/>
      <c r="E600" s="10">
        <f>Precos!J600</f>
        <v/>
      </c>
      <c r="F600" s="12" t="n"/>
    </row>
    <row r="601">
      <c r="A601" s="9">
        <f>Precos!A601</f>
        <v/>
      </c>
      <c r="B601" s="10">
        <f>INDEX(Precos!$B601:$I601,MATCH(Premissas!$B$8,Precos!$B$3:$I$3,0))</f>
        <v/>
      </c>
      <c r="C601" s="10">
        <f>IF(AND(Premissas!$B$10&gt;1,A601&lt;Premissas!$B$9),B601*Premissas!$B$10,B601)</f>
        <v/>
      </c>
      <c r="D601" s="12" t="n"/>
      <c r="E601" s="10">
        <f>Precos!J601</f>
        <v/>
      </c>
      <c r="F601" s="12" t="n"/>
    </row>
    <row r="602">
      <c r="A602" s="9">
        <f>Precos!A602</f>
        <v/>
      </c>
      <c r="B602" s="10">
        <f>INDEX(Precos!$B602:$I602,MATCH(Premissas!$B$8,Precos!$B$3:$I$3,0))</f>
        <v/>
      </c>
      <c r="C602" s="10">
        <f>IF(AND(Premissas!$B$10&gt;1,A602&lt;Premissas!$B$9),B602*Premissas!$B$10,B602)</f>
        <v/>
      </c>
      <c r="D602" s="12" t="n"/>
      <c r="E602" s="10">
        <f>Precos!J602</f>
        <v/>
      </c>
      <c r="F602" s="12" t="n"/>
    </row>
    <row r="603">
      <c r="A603" s="9">
        <f>Precos!A603</f>
        <v/>
      </c>
      <c r="B603" s="10">
        <f>INDEX(Precos!$B603:$I603,MATCH(Premissas!$B$8,Precos!$B$3:$I$3,0))</f>
        <v/>
      </c>
      <c r="C603" s="10">
        <f>IF(AND(Premissas!$B$10&gt;1,A603&lt;Premissas!$B$9),B603*Premissas!$B$10,B603)</f>
        <v/>
      </c>
      <c r="D603" s="12" t="n"/>
      <c r="E603" s="10">
        <f>Precos!J603</f>
        <v/>
      </c>
      <c r="F603" s="12" t="n"/>
    </row>
    <row r="604">
      <c r="A604" s="9">
        <f>Precos!A604</f>
        <v/>
      </c>
      <c r="B604" s="10">
        <f>INDEX(Precos!$B604:$I604,MATCH(Premissas!$B$8,Precos!$B$3:$I$3,0))</f>
        <v/>
      </c>
      <c r="C604" s="10">
        <f>IF(AND(Premissas!$B$10&gt;1,A604&lt;Premissas!$B$9),B604*Premissas!$B$10,B604)</f>
        <v/>
      </c>
      <c r="D604" s="12" t="n"/>
      <c r="E604" s="10">
        <f>Precos!J604</f>
        <v/>
      </c>
      <c r="F604" s="12" t="n"/>
    </row>
    <row r="605">
      <c r="A605" s="9">
        <f>Precos!A605</f>
        <v/>
      </c>
      <c r="B605" s="10">
        <f>INDEX(Precos!$B605:$I605,MATCH(Premissas!$B$8,Precos!$B$3:$I$3,0))</f>
        <v/>
      </c>
      <c r="C605" s="10">
        <f>IF(AND(Premissas!$B$10&gt;1,A605&lt;Premissas!$B$9),B605*Premissas!$B$10,B605)</f>
        <v/>
      </c>
      <c r="D605" s="12" t="n"/>
      <c r="E605" s="10">
        <f>Precos!J605</f>
        <v/>
      </c>
      <c r="F605" s="12" t="n"/>
    </row>
    <row r="606">
      <c r="A606" s="9">
        <f>Precos!A606</f>
        <v/>
      </c>
      <c r="B606" s="10">
        <f>INDEX(Precos!$B606:$I606,MATCH(Premissas!$B$8,Precos!$B$3:$I$3,0))</f>
        <v/>
      </c>
      <c r="C606" s="10">
        <f>IF(AND(Premissas!$B$10&gt;1,A606&lt;Premissas!$B$9),B606*Premissas!$B$10,B606)</f>
        <v/>
      </c>
      <c r="D606" s="12" t="n"/>
      <c r="E606" s="10">
        <f>Precos!J606</f>
        <v/>
      </c>
      <c r="F606" s="12" t="n"/>
    </row>
    <row r="607">
      <c r="A607" s="9">
        <f>Precos!A607</f>
        <v/>
      </c>
      <c r="B607" s="10">
        <f>INDEX(Precos!$B607:$I607,MATCH(Premissas!$B$8,Precos!$B$3:$I$3,0))</f>
        <v/>
      </c>
      <c r="C607" s="10">
        <f>IF(AND(Premissas!$B$10&gt;1,A607&lt;Premissas!$B$9),B607*Premissas!$B$10,B607)</f>
        <v/>
      </c>
      <c r="D607" s="12" t="n"/>
      <c r="E607" s="10">
        <f>Precos!J607</f>
        <v/>
      </c>
      <c r="F607" s="12" t="n"/>
    </row>
    <row r="608">
      <c r="A608" s="9">
        <f>Precos!A608</f>
        <v/>
      </c>
      <c r="B608" s="10">
        <f>INDEX(Precos!$B608:$I608,MATCH(Premissas!$B$8,Precos!$B$3:$I$3,0))</f>
        <v/>
      </c>
      <c r="C608" s="10">
        <f>IF(AND(Premissas!$B$10&gt;1,A608&lt;Premissas!$B$9),B608*Premissas!$B$10,B608)</f>
        <v/>
      </c>
      <c r="D608" s="12" t="n"/>
      <c r="E608" s="10">
        <f>Precos!J608</f>
        <v/>
      </c>
      <c r="F608" s="12" t="n"/>
    </row>
    <row r="609">
      <c r="A609" s="9">
        <f>Precos!A609</f>
        <v/>
      </c>
      <c r="B609" s="10">
        <f>INDEX(Precos!$B609:$I609,MATCH(Premissas!$B$8,Precos!$B$3:$I$3,0))</f>
        <v/>
      </c>
      <c r="C609" s="10">
        <f>IF(AND(Premissas!$B$10&gt;1,A609&lt;Premissas!$B$9),B609*Premissas!$B$10,B609)</f>
        <v/>
      </c>
      <c r="D609" s="12" t="n"/>
      <c r="E609" s="10">
        <f>Precos!J609</f>
        <v/>
      </c>
      <c r="F609" s="12" t="n"/>
    </row>
    <row r="610">
      <c r="A610" s="9">
        <f>Precos!A610</f>
        <v/>
      </c>
      <c r="B610" s="10">
        <f>INDEX(Precos!$B610:$I610,MATCH(Premissas!$B$8,Precos!$B$3:$I$3,0))</f>
        <v/>
      </c>
      <c r="C610" s="10">
        <f>IF(AND(Premissas!$B$10&gt;1,A610&lt;Premissas!$B$9),B610*Premissas!$B$10,B610)</f>
        <v/>
      </c>
      <c r="D610" s="12" t="n"/>
      <c r="E610" s="10">
        <f>Precos!J610</f>
        <v/>
      </c>
      <c r="F610" s="12" t="n"/>
    </row>
    <row r="611">
      <c r="A611" s="9">
        <f>Precos!A611</f>
        <v/>
      </c>
      <c r="B611" s="10">
        <f>INDEX(Precos!$B611:$I611,MATCH(Premissas!$B$8,Precos!$B$3:$I$3,0))</f>
        <v/>
      </c>
      <c r="C611" s="10">
        <f>IF(AND(Premissas!$B$10&gt;1,A611&lt;Premissas!$B$9),B611*Premissas!$B$10,B611)</f>
        <v/>
      </c>
      <c r="D611" s="12" t="n"/>
      <c r="E611" s="10">
        <f>Precos!J611</f>
        <v/>
      </c>
      <c r="F611" s="12" t="n"/>
    </row>
    <row r="612">
      <c r="A612" s="9">
        <f>Precos!A612</f>
        <v/>
      </c>
      <c r="B612" s="10">
        <f>INDEX(Precos!$B612:$I612,MATCH(Premissas!$B$8,Precos!$B$3:$I$3,0))</f>
        <v/>
      </c>
      <c r="C612" s="10">
        <f>IF(AND(Premissas!$B$10&gt;1,A612&lt;Premissas!$B$9),B612*Premissas!$B$10,B612)</f>
        <v/>
      </c>
      <c r="D612" s="12" t="n"/>
      <c r="E612" s="10">
        <f>Precos!J612</f>
        <v/>
      </c>
      <c r="F612" s="12" t="n"/>
    </row>
    <row r="613">
      <c r="A613" s="9">
        <f>Precos!A613</f>
        <v/>
      </c>
      <c r="B613" s="10">
        <f>INDEX(Precos!$B613:$I613,MATCH(Premissas!$B$8,Precos!$B$3:$I$3,0))</f>
        <v/>
      </c>
      <c r="C613" s="10">
        <f>IF(AND(Premissas!$B$10&gt;1,A613&lt;Premissas!$B$9),B613*Premissas!$B$10,B613)</f>
        <v/>
      </c>
      <c r="D613" s="12" t="n"/>
      <c r="E613" s="10">
        <f>Precos!J613</f>
        <v/>
      </c>
      <c r="F613" s="12" t="n"/>
    </row>
    <row r="614">
      <c r="A614" s="9">
        <f>Precos!A614</f>
        <v/>
      </c>
      <c r="B614" s="10">
        <f>INDEX(Precos!$B614:$I614,MATCH(Premissas!$B$8,Precos!$B$3:$I$3,0))</f>
        <v/>
      </c>
      <c r="C614" s="10">
        <f>IF(AND(Premissas!$B$10&gt;1,A614&lt;Premissas!$B$9),B614*Premissas!$B$10,B614)</f>
        <v/>
      </c>
      <c r="D614" s="12" t="n"/>
      <c r="E614" s="10">
        <f>Precos!J614</f>
        <v/>
      </c>
      <c r="F614" s="12" t="n"/>
    </row>
    <row r="615">
      <c r="A615" s="9">
        <f>Precos!A615</f>
        <v/>
      </c>
      <c r="B615" s="10">
        <f>INDEX(Precos!$B615:$I615,MATCH(Premissas!$B$8,Precos!$B$3:$I$3,0))</f>
        <v/>
      </c>
      <c r="C615" s="10">
        <f>IF(AND(Premissas!$B$10&gt;1,A615&lt;Premissas!$B$9),B615*Premissas!$B$10,B615)</f>
        <v/>
      </c>
      <c r="D615" s="12" t="n"/>
      <c r="E615" s="10">
        <f>Precos!J615</f>
        <v/>
      </c>
      <c r="F615" s="12" t="n"/>
    </row>
    <row r="616">
      <c r="A616" s="9">
        <f>Precos!A616</f>
        <v/>
      </c>
      <c r="B616" s="10">
        <f>INDEX(Precos!$B616:$I616,MATCH(Premissas!$B$8,Precos!$B$3:$I$3,0))</f>
        <v/>
      </c>
      <c r="C616" s="10">
        <f>IF(AND(Premissas!$B$10&gt;1,A616&lt;Premissas!$B$9),B616*Premissas!$B$10,B616)</f>
        <v/>
      </c>
      <c r="D616" s="12" t="n"/>
      <c r="E616" s="10">
        <f>Precos!J616</f>
        <v/>
      </c>
      <c r="F616" s="12" t="n"/>
    </row>
    <row r="617">
      <c r="A617" s="9">
        <f>Precos!A617</f>
        <v/>
      </c>
      <c r="B617" s="10">
        <f>INDEX(Precos!$B617:$I617,MATCH(Premissas!$B$8,Precos!$B$3:$I$3,0))</f>
        <v/>
      </c>
      <c r="C617" s="10">
        <f>IF(AND(Premissas!$B$10&gt;1,A617&lt;Premissas!$B$9),B617*Premissas!$B$10,B617)</f>
        <v/>
      </c>
      <c r="D617" s="12" t="n"/>
      <c r="E617" s="10">
        <f>Precos!J617</f>
        <v/>
      </c>
      <c r="F617" s="12" t="n"/>
    </row>
    <row r="618">
      <c r="A618" s="9">
        <f>Precos!A618</f>
        <v/>
      </c>
      <c r="B618" s="10">
        <f>INDEX(Precos!$B618:$I618,MATCH(Premissas!$B$8,Precos!$B$3:$I$3,0))</f>
        <v/>
      </c>
      <c r="C618" s="10">
        <f>IF(AND(Premissas!$B$10&gt;1,A618&lt;Premissas!$B$9),B618*Premissas!$B$10,B618)</f>
        <v/>
      </c>
      <c r="D618" s="12" t="n"/>
      <c r="E618" s="10">
        <f>Precos!J618</f>
        <v/>
      </c>
      <c r="F618" s="12" t="n"/>
    </row>
    <row r="619">
      <c r="A619" s="9">
        <f>Precos!A619</f>
        <v/>
      </c>
      <c r="B619" s="10">
        <f>INDEX(Precos!$B619:$I619,MATCH(Premissas!$B$8,Precos!$B$3:$I$3,0))</f>
        <v/>
      </c>
      <c r="C619" s="10">
        <f>IF(AND(Premissas!$B$10&gt;1,A619&lt;Premissas!$B$9),B619*Premissas!$B$10,B619)</f>
        <v/>
      </c>
      <c r="D619" s="12" t="n"/>
      <c r="E619" s="10">
        <f>Precos!J619</f>
        <v/>
      </c>
      <c r="F619" s="12" t="n"/>
    </row>
    <row r="620">
      <c r="A620" s="9">
        <f>Precos!A620</f>
        <v/>
      </c>
      <c r="B620" s="10">
        <f>INDEX(Precos!$B620:$I620,MATCH(Premissas!$B$8,Precos!$B$3:$I$3,0))</f>
        <v/>
      </c>
      <c r="C620" s="10">
        <f>IF(AND(Premissas!$B$10&gt;1,A620&lt;Premissas!$B$9),B620*Premissas!$B$10,B620)</f>
        <v/>
      </c>
      <c r="D620" s="12" t="n"/>
      <c r="E620" s="10">
        <f>Precos!J620</f>
        <v/>
      </c>
      <c r="F620" s="12" t="n"/>
    </row>
    <row r="621">
      <c r="A621" s="9">
        <f>Precos!A621</f>
        <v/>
      </c>
      <c r="B621" s="10">
        <f>INDEX(Precos!$B621:$I621,MATCH(Premissas!$B$8,Precos!$B$3:$I$3,0))</f>
        <v/>
      </c>
      <c r="C621" s="10">
        <f>IF(AND(Premissas!$B$10&gt;1,A621&lt;Premissas!$B$9),B621*Premissas!$B$10,B621)</f>
        <v/>
      </c>
      <c r="D621" s="12" t="n"/>
      <c r="E621" s="10">
        <f>Precos!J621</f>
        <v/>
      </c>
      <c r="F621" s="12" t="n"/>
    </row>
    <row r="622">
      <c r="A622" s="9">
        <f>Precos!A622</f>
        <v/>
      </c>
      <c r="B622" s="10">
        <f>INDEX(Precos!$B622:$I622,MATCH(Premissas!$B$8,Precos!$B$3:$I$3,0))</f>
        <v/>
      </c>
      <c r="C622" s="10">
        <f>IF(AND(Premissas!$B$10&gt;1,A622&lt;Premissas!$B$9),B622*Premissas!$B$10,B622)</f>
        <v/>
      </c>
      <c r="D622" s="12" t="n"/>
      <c r="E622" s="10">
        <f>Precos!J622</f>
        <v/>
      </c>
      <c r="F622" s="12" t="n"/>
    </row>
    <row r="623">
      <c r="A623" s="9">
        <f>Precos!A623</f>
        <v/>
      </c>
      <c r="B623" s="10">
        <f>INDEX(Precos!$B623:$I623,MATCH(Premissas!$B$8,Precos!$B$3:$I$3,0))</f>
        <v/>
      </c>
      <c r="C623" s="10">
        <f>IF(AND(Premissas!$B$10&gt;1,A623&lt;Premissas!$B$9),B623*Premissas!$B$10,B623)</f>
        <v/>
      </c>
      <c r="D623" s="12" t="n"/>
      <c r="E623" s="10">
        <f>Precos!J623</f>
        <v/>
      </c>
      <c r="F623" s="12" t="n"/>
    </row>
    <row r="624">
      <c r="A624" s="9">
        <f>Precos!A624</f>
        <v/>
      </c>
      <c r="B624" s="10">
        <f>INDEX(Precos!$B624:$I624,MATCH(Premissas!$B$8,Precos!$B$3:$I$3,0))</f>
        <v/>
      </c>
      <c r="C624" s="10">
        <f>IF(AND(Premissas!$B$10&gt;1,A624&lt;Premissas!$B$9),B624*Premissas!$B$10,B624)</f>
        <v/>
      </c>
      <c r="D624" s="12" t="n"/>
      <c r="E624" s="10">
        <f>Precos!J624</f>
        <v/>
      </c>
      <c r="F624" s="12" t="n"/>
    </row>
    <row r="625">
      <c r="A625" s="9">
        <f>Precos!A625</f>
        <v/>
      </c>
      <c r="B625" s="10">
        <f>INDEX(Precos!$B625:$I625,MATCH(Premissas!$B$8,Precos!$B$3:$I$3,0))</f>
        <v/>
      </c>
      <c r="C625" s="10">
        <f>IF(AND(Premissas!$B$10&gt;1,A625&lt;Premissas!$B$9),B625*Premissas!$B$10,B625)</f>
        <v/>
      </c>
      <c r="D625" s="12" t="n"/>
      <c r="E625" s="10">
        <f>Precos!J625</f>
        <v/>
      </c>
      <c r="F625" s="12" t="n"/>
    </row>
    <row r="626">
      <c r="A626" s="9">
        <f>Precos!A626</f>
        <v/>
      </c>
      <c r="B626" s="10">
        <f>INDEX(Precos!$B626:$I626,MATCH(Premissas!$B$8,Precos!$B$3:$I$3,0))</f>
        <v/>
      </c>
      <c r="C626" s="10">
        <f>IF(AND(Premissas!$B$10&gt;1,A626&lt;Premissas!$B$9),B626*Premissas!$B$10,B626)</f>
        <v/>
      </c>
      <c r="D626" s="12" t="n"/>
      <c r="E626" s="10">
        <f>Precos!J626</f>
        <v/>
      </c>
      <c r="F626" s="12" t="n"/>
    </row>
    <row r="627">
      <c r="A627" s="9">
        <f>Precos!A627</f>
        <v/>
      </c>
      <c r="B627" s="10">
        <f>INDEX(Precos!$B627:$I627,MATCH(Premissas!$B$8,Precos!$B$3:$I$3,0))</f>
        <v/>
      </c>
      <c r="C627" s="10">
        <f>IF(AND(Premissas!$B$10&gt;1,A627&lt;Premissas!$B$9),B627*Premissas!$B$10,B627)</f>
        <v/>
      </c>
      <c r="D627" s="12" t="n"/>
      <c r="E627" s="10">
        <f>Precos!J627</f>
        <v/>
      </c>
      <c r="F627" s="12" t="n"/>
    </row>
    <row r="628">
      <c r="A628" s="9">
        <f>Precos!A628</f>
        <v/>
      </c>
      <c r="B628" s="10">
        <f>INDEX(Precos!$B628:$I628,MATCH(Premissas!$B$8,Precos!$B$3:$I$3,0))</f>
        <v/>
      </c>
      <c r="C628" s="10">
        <f>IF(AND(Premissas!$B$10&gt;1,A628&lt;Premissas!$B$9),B628*Premissas!$B$10,B628)</f>
        <v/>
      </c>
      <c r="D628" s="12" t="n"/>
      <c r="E628" s="10">
        <f>Precos!J628</f>
        <v/>
      </c>
      <c r="F628" s="12" t="n"/>
    </row>
    <row r="629">
      <c r="A629" s="9">
        <f>Precos!A629</f>
        <v/>
      </c>
      <c r="B629" s="10">
        <f>INDEX(Precos!$B629:$I629,MATCH(Premissas!$B$8,Precos!$B$3:$I$3,0))</f>
        <v/>
      </c>
      <c r="C629" s="10">
        <f>IF(AND(Premissas!$B$10&gt;1,A629&lt;Premissas!$B$9),B629*Premissas!$B$10,B629)</f>
        <v/>
      </c>
      <c r="D629" s="12" t="n"/>
      <c r="E629" s="10">
        <f>Precos!J629</f>
        <v/>
      </c>
      <c r="F629" s="12" t="n"/>
    </row>
    <row r="630">
      <c r="A630" s="9">
        <f>Precos!A630</f>
        <v/>
      </c>
      <c r="B630" s="10">
        <f>INDEX(Precos!$B630:$I630,MATCH(Premissas!$B$8,Precos!$B$3:$I$3,0))</f>
        <v/>
      </c>
      <c r="C630" s="10">
        <f>IF(AND(Premissas!$B$10&gt;1,A630&lt;Premissas!$B$9),B630*Premissas!$B$10,B630)</f>
        <v/>
      </c>
      <c r="D630" s="12" t="n"/>
      <c r="E630" s="10">
        <f>Precos!J630</f>
        <v/>
      </c>
      <c r="F630" s="12" t="n"/>
    </row>
    <row r="631">
      <c r="A631" s="9">
        <f>Precos!A631</f>
        <v/>
      </c>
      <c r="B631" s="10">
        <f>INDEX(Precos!$B631:$I631,MATCH(Premissas!$B$8,Precos!$B$3:$I$3,0))</f>
        <v/>
      </c>
      <c r="C631" s="10">
        <f>IF(AND(Premissas!$B$10&gt;1,A631&lt;Premissas!$B$9),B631*Premissas!$B$10,B631)</f>
        <v/>
      </c>
      <c r="D631" s="12" t="n"/>
      <c r="E631" s="10">
        <f>Precos!J631</f>
        <v/>
      </c>
      <c r="F631" s="12" t="n"/>
    </row>
    <row r="632">
      <c r="A632" s="9">
        <f>Precos!A632</f>
        <v/>
      </c>
      <c r="B632" s="10">
        <f>INDEX(Precos!$B632:$I632,MATCH(Premissas!$B$8,Precos!$B$3:$I$3,0))</f>
        <v/>
      </c>
      <c r="C632" s="10">
        <f>IF(AND(Premissas!$B$10&gt;1,A632&lt;Premissas!$B$9),B632*Premissas!$B$10,B632)</f>
        <v/>
      </c>
      <c r="D632" s="12" t="n"/>
      <c r="E632" s="10">
        <f>Precos!J632</f>
        <v/>
      </c>
      <c r="F632" s="12" t="n"/>
    </row>
    <row r="633">
      <c r="A633" s="9">
        <f>Precos!A633</f>
        <v/>
      </c>
      <c r="B633" s="10">
        <f>INDEX(Precos!$B633:$I633,MATCH(Premissas!$B$8,Precos!$B$3:$I$3,0))</f>
        <v/>
      </c>
      <c r="C633" s="10">
        <f>IF(AND(Premissas!$B$10&gt;1,A633&lt;Premissas!$B$9),B633*Premissas!$B$10,B633)</f>
        <v/>
      </c>
      <c r="D633" s="12" t="n"/>
      <c r="E633" s="10">
        <f>Precos!J633</f>
        <v/>
      </c>
      <c r="F633" s="12" t="n"/>
    </row>
    <row r="634">
      <c r="A634" s="9">
        <f>Precos!A634</f>
        <v/>
      </c>
      <c r="B634" s="10">
        <f>INDEX(Precos!$B634:$I634,MATCH(Premissas!$B$8,Precos!$B$3:$I$3,0))</f>
        <v/>
      </c>
      <c r="C634" s="10">
        <f>IF(AND(Premissas!$B$10&gt;1,A634&lt;Premissas!$B$9),B634*Premissas!$B$10,B634)</f>
        <v/>
      </c>
      <c r="D634" s="12" t="n"/>
      <c r="E634" s="10">
        <f>Precos!J634</f>
        <v/>
      </c>
      <c r="F634" s="12" t="n"/>
    </row>
    <row r="635">
      <c r="A635" s="9">
        <f>Precos!A635</f>
        <v/>
      </c>
      <c r="B635" s="10">
        <f>INDEX(Precos!$B635:$I635,MATCH(Premissas!$B$8,Precos!$B$3:$I$3,0))</f>
        <v/>
      </c>
      <c r="C635" s="10">
        <f>IF(AND(Premissas!$B$10&gt;1,A635&lt;Premissas!$B$9),B635*Premissas!$B$10,B635)</f>
        <v/>
      </c>
      <c r="D635" s="12" t="n"/>
      <c r="E635" s="10">
        <f>Precos!J635</f>
        <v/>
      </c>
      <c r="F635" s="12" t="n"/>
    </row>
    <row r="636">
      <c r="A636" s="9">
        <f>Precos!A636</f>
        <v/>
      </c>
      <c r="B636" s="10">
        <f>INDEX(Precos!$B636:$I636,MATCH(Premissas!$B$8,Precos!$B$3:$I$3,0))</f>
        <v/>
      </c>
      <c r="C636" s="10">
        <f>IF(AND(Premissas!$B$10&gt;1,A636&lt;Premissas!$B$9),B636*Premissas!$B$10,B636)</f>
        <v/>
      </c>
      <c r="D636" s="12" t="n"/>
      <c r="E636" s="10">
        <f>Precos!J636</f>
        <v/>
      </c>
      <c r="F636" s="12" t="n"/>
    </row>
    <row r="637">
      <c r="A637" s="9">
        <f>Precos!A637</f>
        <v/>
      </c>
      <c r="B637" s="10">
        <f>INDEX(Precos!$B637:$I637,MATCH(Premissas!$B$8,Precos!$B$3:$I$3,0))</f>
        <v/>
      </c>
      <c r="C637" s="10">
        <f>IF(AND(Premissas!$B$10&gt;1,A637&lt;Premissas!$B$9),B637*Premissas!$B$10,B637)</f>
        <v/>
      </c>
      <c r="D637" s="12" t="n"/>
      <c r="E637" s="10">
        <f>Precos!J637</f>
        <v/>
      </c>
      <c r="F637" s="12" t="n"/>
    </row>
    <row r="638">
      <c r="A638" s="9">
        <f>Precos!A638</f>
        <v/>
      </c>
      <c r="B638" s="10">
        <f>INDEX(Precos!$B638:$I638,MATCH(Premissas!$B$8,Precos!$B$3:$I$3,0))</f>
        <v/>
      </c>
      <c r="C638" s="10">
        <f>IF(AND(Premissas!$B$10&gt;1,A638&lt;Premissas!$B$9),B638*Premissas!$B$10,B638)</f>
        <v/>
      </c>
      <c r="D638" s="12" t="n"/>
      <c r="E638" s="10">
        <f>Precos!J638</f>
        <v/>
      </c>
      <c r="F638" s="12" t="n"/>
    </row>
    <row r="639">
      <c r="A639" s="9">
        <f>Precos!A639</f>
        <v/>
      </c>
      <c r="B639" s="10">
        <f>INDEX(Precos!$B639:$I639,MATCH(Premissas!$B$8,Precos!$B$3:$I$3,0))</f>
        <v/>
      </c>
      <c r="C639" s="10">
        <f>IF(AND(Premissas!$B$10&gt;1,A639&lt;Premissas!$B$9),B639*Premissas!$B$10,B639)</f>
        <v/>
      </c>
      <c r="D639" s="12" t="n"/>
      <c r="E639" s="10">
        <f>Precos!J639</f>
        <v/>
      </c>
      <c r="F639" s="12" t="n"/>
    </row>
    <row r="640">
      <c r="A640" s="9">
        <f>Precos!A640</f>
        <v/>
      </c>
      <c r="B640" s="10">
        <f>INDEX(Precos!$B640:$I640,MATCH(Premissas!$B$8,Precos!$B$3:$I$3,0))</f>
        <v/>
      </c>
      <c r="C640" s="10">
        <f>IF(AND(Premissas!$B$10&gt;1,A640&lt;Premissas!$B$9),B640*Premissas!$B$10,B640)</f>
        <v/>
      </c>
      <c r="D640" s="12" t="n"/>
      <c r="E640" s="10">
        <f>Precos!J640</f>
        <v/>
      </c>
      <c r="F640" s="12" t="n"/>
    </row>
    <row r="641">
      <c r="A641" s="9">
        <f>Precos!A641</f>
        <v/>
      </c>
      <c r="B641" s="10">
        <f>INDEX(Precos!$B641:$I641,MATCH(Premissas!$B$8,Precos!$B$3:$I$3,0))</f>
        <v/>
      </c>
      <c r="C641" s="10">
        <f>IF(AND(Premissas!$B$10&gt;1,A641&lt;Premissas!$B$9),B641*Premissas!$B$10,B641)</f>
        <v/>
      </c>
      <c r="D641" s="12" t="n"/>
      <c r="E641" s="10">
        <f>Precos!J641</f>
        <v/>
      </c>
      <c r="F641" s="12" t="n"/>
    </row>
    <row r="642">
      <c r="A642" s="9">
        <f>Precos!A642</f>
        <v/>
      </c>
      <c r="B642" s="10">
        <f>INDEX(Precos!$B642:$I642,MATCH(Premissas!$B$8,Precos!$B$3:$I$3,0))</f>
        <v/>
      </c>
      <c r="C642" s="10">
        <f>IF(AND(Premissas!$B$10&gt;1,A642&lt;Premissas!$B$9),B642*Premissas!$B$10,B642)</f>
        <v/>
      </c>
      <c r="D642" s="12" t="n"/>
      <c r="E642" s="10">
        <f>Precos!J642</f>
        <v/>
      </c>
      <c r="F642" s="12" t="n"/>
    </row>
    <row r="643">
      <c r="A643" s="9">
        <f>Precos!A643</f>
        <v/>
      </c>
      <c r="B643" s="10">
        <f>INDEX(Precos!$B643:$I643,MATCH(Premissas!$B$8,Precos!$B$3:$I$3,0))</f>
        <v/>
      </c>
      <c r="C643" s="10">
        <f>IF(AND(Premissas!$B$10&gt;1,A643&lt;Premissas!$B$9),B643*Premissas!$B$10,B643)</f>
        <v/>
      </c>
      <c r="D643" s="12" t="n"/>
      <c r="E643" s="10">
        <f>Precos!J643</f>
        <v/>
      </c>
      <c r="F643" s="12" t="n"/>
    </row>
    <row r="644">
      <c r="A644" s="9">
        <f>Precos!A644</f>
        <v/>
      </c>
      <c r="B644" s="10">
        <f>INDEX(Precos!$B644:$I644,MATCH(Premissas!$B$8,Precos!$B$3:$I$3,0))</f>
        <v/>
      </c>
      <c r="C644" s="10">
        <f>IF(AND(Premissas!$B$10&gt;1,A644&lt;Premissas!$B$9),B644*Premissas!$B$10,B644)</f>
        <v/>
      </c>
      <c r="D644" s="12" t="n"/>
      <c r="E644" s="10">
        <f>Precos!J644</f>
        <v/>
      </c>
      <c r="F644" s="12" t="n"/>
    </row>
    <row r="645">
      <c r="A645" s="9">
        <f>Precos!A645</f>
        <v/>
      </c>
      <c r="B645" s="10">
        <f>INDEX(Precos!$B645:$I645,MATCH(Premissas!$B$8,Precos!$B$3:$I$3,0))</f>
        <v/>
      </c>
      <c r="C645" s="10">
        <f>IF(AND(Premissas!$B$10&gt;1,A645&lt;Premissas!$B$9),B645*Premissas!$B$10,B645)</f>
        <v/>
      </c>
      <c r="D645" s="12" t="n"/>
      <c r="E645" s="10">
        <f>Precos!J645</f>
        <v/>
      </c>
      <c r="F645" s="12" t="n"/>
    </row>
    <row r="646">
      <c r="A646" s="9">
        <f>Precos!A646</f>
        <v/>
      </c>
      <c r="B646" s="10">
        <f>INDEX(Precos!$B646:$I646,MATCH(Premissas!$B$8,Precos!$B$3:$I$3,0))</f>
        <v/>
      </c>
      <c r="C646" s="10">
        <f>IF(AND(Premissas!$B$10&gt;1,A646&lt;Premissas!$B$9),B646*Premissas!$B$10,B646)</f>
        <v/>
      </c>
      <c r="D646" s="12" t="n"/>
      <c r="E646" s="10">
        <f>Precos!J646</f>
        <v/>
      </c>
      <c r="F646" s="12" t="n"/>
    </row>
    <row r="647">
      <c r="A647" s="9">
        <f>Precos!A647</f>
        <v/>
      </c>
      <c r="B647" s="10">
        <f>INDEX(Precos!$B647:$I647,MATCH(Premissas!$B$8,Precos!$B$3:$I$3,0))</f>
        <v/>
      </c>
      <c r="C647" s="10">
        <f>IF(AND(Premissas!$B$10&gt;1,A647&lt;Premissas!$B$9),B647*Premissas!$B$10,B647)</f>
        <v/>
      </c>
      <c r="D647" s="12" t="n"/>
      <c r="E647" s="10">
        <f>Precos!J647</f>
        <v/>
      </c>
      <c r="F647" s="12" t="n"/>
    </row>
    <row r="648">
      <c r="A648" s="9">
        <f>Precos!A648</f>
        <v/>
      </c>
      <c r="B648" s="10">
        <f>INDEX(Precos!$B648:$I648,MATCH(Premissas!$B$8,Precos!$B$3:$I$3,0))</f>
        <v/>
      </c>
      <c r="C648" s="10">
        <f>IF(AND(Premissas!$B$10&gt;1,A648&lt;Premissas!$B$9),B648*Premissas!$B$10,B648)</f>
        <v/>
      </c>
      <c r="D648" s="12" t="n"/>
      <c r="E648" s="10">
        <f>Precos!J648</f>
        <v/>
      </c>
      <c r="F648" s="12" t="n"/>
    </row>
    <row r="649">
      <c r="A649" s="9">
        <f>Precos!A649</f>
        <v/>
      </c>
      <c r="B649" s="10">
        <f>INDEX(Precos!$B649:$I649,MATCH(Premissas!$B$8,Precos!$B$3:$I$3,0))</f>
        <v/>
      </c>
      <c r="C649" s="10">
        <f>IF(AND(Premissas!$B$10&gt;1,A649&lt;Premissas!$B$9),B649*Premissas!$B$10,B649)</f>
        <v/>
      </c>
      <c r="D649" s="12" t="n"/>
      <c r="E649" s="10">
        <f>Precos!J649</f>
        <v/>
      </c>
      <c r="F649" s="12" t="n"/>
    </row>
    <row r="650">
      <c r="A650" s="9">
        <f>Precos!A650</f>
        <v/>
      </c>
      <c r="B650" s="10">
        <f>INDEX(Precos!$B650:$I650,MATCH(Premissas!$B$8,Precos!$B$3:$I$3,0))</f>
        <v/>
      </c>
      <c r="C650" s="10">
        <f>IF(AND(Premissas!$B$10&gt;1,A650&lt;Premissas!$B$9),B650*Premissas!$B$10,B650)</f>
        <v/>
      </c>
      <c r="D650" s="12" t="n"/>
      <c r="E650" s="10">
        <f>Precos!J650</f>
        <v/>
      </c>
      <c r="F650" s="12" t="n"/>
    </row>
    <row r="651">
      <c r="A651" s="9">
        <f>Precos!A651</f>
        <v/>
      </c>
      <c r="B651" s="10">
        <f>INDEX(Precos!$B651:$I651,MATCH(Premissas!$B$8,Precos!$B$3:$I$3,0))</f>
        <v/>
      </c>
      <c r="C651" s="10">
        <f>IF(AND(Premissas!$B$10&gt;1,A651&lt;Premissas!$B$9),B651*Premissas!$B$10,B651)</f>
        <v/>
      </c>
      <c r="D651" s="12" t="n"/>
      <c r="E651" s="10">
        <f>Precos!J651</f>
        <v/>
      </c>
      <c r="F651" s="12" t="n"/>
    </row>
    <row r="652">
      <c r="A652" s="9">
        <f>Precos!A652</f>
        <v/>
      </c>
      <c r="B652" s="10">
        <f>INDEX(Precos!$B652:$I652,MATCH(Premissas!$B$8,Precos!$B$3:$I$3,0))</f>
        <v/>
      </c>
      <c r="C652" s="10">
        <f>IF(AND(Premissas!$B$10&gt;1,A652&lt;Premissas!$B$9),B652*Premissas!$B$10,B652)</f>
        <v/>
      </c>
      <c r="D652" s="12" t="n"/>
      <c r="E652" s="10">
        <f>Precos!J652</f>
        <v/>
      </c>
      <c r="F652" s="12" t="n"/>
    </row>
    <row r="653">
      <c r="A653" s="9">
        <f>Precos!A653</f>
        <v/>
      </c>
      <c r="B653" s="10">
        <f>INDEX(Precos!$B653:$I653,MATCH(Premissas!$B$8,Precos!$B$3:$I$3,0))</f>
        <v/>
      </c>
      <c r="C653" s="10">
        <f>IF(AND(Premissas!$B$10&gt;1,A653&lt;Premissas!$B$9),B653*Premissas!$B$10,B653)</f>
        <v/>
      </c>
      <c r="D653" s="12" t="n"/>
      <c r="E653" s="10">
        <f>Precos!J653</f>
        <v/>
      </c>
      <c r="F653" s="12" t="n"/>
    </row>
    <row r="654">
      <c r="A654" s="9">
        <f>Precos!A654</f>
        <v/>
      </c>
      <c r="B654" s="10">
        <f>INDEX(Precos!$B654:$I654,MATCH(Premissas!$B$8,Precos!$B$3:$I$3,0))</f>
        <v/>
      </c>
      <c r="C654" s="10">
        <f>IF(AND(Premissas!$B$10&gt;1,A654&lt;Premissas!$B$9),B654*Premissas!$B$10,B654)</f>
        <v/>
      </c>
      <c r="D654" s="12" t="n"/>
      <c r="E654" s="10">
        <f>Precos!J654</f>
        <v/>
      </c>
      <c r="F654" s="12" t="n"/>
    </row>
    <row r="655">
      <c r="A655" s="9">
        <f>Precos!A655</f>
        <v/>
      </c>
      <c r="B655" s="10">
        <f>INDEX(Precos!$B655:$I655,MATCH(Premissas!$B$8,Precos!$B$3:$I$3,0))</f>
        <v/>
      </c>
      <c r="C655" s="10">
        <f>IF(AND(Premissas!$B$10&gt;1,A655&lt;Premissas!$B$9),B655*Premissas!$B$10,B655)</f>
        <v/>
      </c>
      <c r="D655" s="12" t="n"/>
      <c r="E655" s="10">
        <f>Precos!J655</f>
        <v/>
      </c>
      <c r="F655" s="12" t="n"/>
    </row>
    <row r="656">
      <c r="A656" s="9">
        <f>Precos!A656</f>
        <v/>
      </c>
      <c r="B656" s="10">
        <f>INDEX(Precos!$B656:$I656,MATCH(Premissas!$B$8,Precos!$B$3:$I$3,0))</f>
        <v/>
      </c>
      <c r="C656" s="10">
        <f>IF(AND(Premissas!$B$10&gt;1,A656&lt;Premissas!$B$9),B656*Premissas!$B$10,B656)</f>
        <v/>
      </c>
      <c r="D656" s="12" t="n"/>
      <c r="E656" s="10">
        <f>Precos!J656</f>
        <v/>
      </c>
      <c r="F656" s="12" t="n"/>
    </row>
    <row r="657">
      <c r="A657" s="9">
        <f>Precos!A657</f>
        <v/>
      </c>
      <c r="B657" s="10">
        <f>INDEX(Precos!$B657:$I657,MATCH(Premissas!$B$8,Precos!$B$3:$I$3,0))</f>
        <v/>
      </c>
      <c r="C657" s="10">
        <f>IF(AND(Premissas!$B$10&gt;1,A657&lt;Premissas!$B$9),B657*Premissas!$B$10,B657)</f>
        <v/>
      </c>
      <c r="D657" s="12" t="n"/>
      <c r="E657" s="10">
        <f>Precos!J657</f>
        <v/>
      </c>
      <c r="F657" s="12" t="n"/>
    </row>
    <row r="658">
      <c r="A658" s="9">
        <f>Precos!A658</f>
        <v/>
      </c>
      <c r="B658" s="10">
        <f>INDEX(Precos!$B658:$I658,MATCH(Premissas!$B$8,Precos!$B$3:$I$3,0))</f>
        <v/>
      </c>
      <c r="C658" s="10">
        <f>IF(AND(Premissas!$B$10&gt;1,A658&lt;Premissas!$B$9),B658*Premissas!$B$10,B658)</f>
        <v/>
      </c>
      <c r="D658" s="12" t="n"/>
      <c r="E658" s="10">
        <f>Precos!J658</f>
        <v/>
      </c>
      <c r="F658" s="12" t="n"/>
    </row>
    <row r="659">
      <c r="A659" s="9">
        <f>Precos!A659</f>
        <v/>
      </c>
      <c r="B659" s="10">
        <f>INDEX(Precos!$B659:$I659,MATCH(Premissas!$B$8,Precos!$B$3:$I$3,0))</f>
        <v/>
      </c>
      <c r="C659" s="10">
        <f>IF(AND(Premissas!$B$10&gt;1,A659&lt;Premissas!$B$9),B659*Premissas!$B$10,B659)</f>
        <v/>
      </c>
      <c r="D659" s="12" t="n"/>
      <c r="E659" s="10">
        <f>Precos!J659</f>
        <v/>
      </c>
      <c r="F659" s="12" t="n"/>
    </row>
    <row r="660">
      <c r="A660" s="9">
        <f>Precos!A660</f>
        <v/>
      </c>
      <c r="B660" s="10">
        <f>INDEX(Precos!$B660:$I660,MATCH(Premissas!$B$8,Precos!$B$3:$I$3,0))</f>
        <v/>
      </c>
      <c r="C660" s="10">
        <f>IF(AND(Premissas!$B$10&gt;1,A660&lt;Premissas!$B$9),B660*Premissas!$B$10,B660)</f>
        <v/>
      </c>
      <c r="D660" s="12" t="n"/>
      <c r="E660" s="10">
        <f>Precos!J660</f>
        <v/>
      </c>
      <c r="F660" s="12" t="n"/>
    </row>
    <row r="661">
      <c r="A661" s="9">
        <f>Precos!A661</f>
        <v/>
      </c>
      <c r="B661" s="10">
        <f>INDEX(Precos!$B661:$I661,MATCH(Premissas!$B$8,Precos!$B$3:$I$3,0))</f>
        <v/>
      </c>
      <c r="C661" s="10">
        <f>IF(AND(Premissas!$B$10&gt;1,A661&lt;Premissas!$B$9),B661*Premissas!$B$10,B661)</f>
        <v/>
      </c>
      <c r="D661" s="12" t="n"/>
      <c r="E661" s="10">
        <f>Precos!J661</f>
        <v/>
      </c>
      <c r="F661" s="12" t="n"/>
    </row>
    <row r="662">
      <c r="A662" s="9">
        <f>Precos!A662</f>
        <v/>
      </c>
      <c r="B662" s="10">
        <f>INDEX(Precos!$B662:$I662,MATCH(Premissas!$B$8,Precos!$B$3:$I$3,0))</f>
        <v/>
      </c>
      <c r="C662" s="10">
        <f>IF(AND(Premissas!$B$10&gt;1,A662&lt;Premissas!$B$9),B662*Premissas!$B$10,B662)</f>
        <v/>
      </c>
      <c r="D662" s="12" t="n"/>
      <c r="E662" s="10">
        <f>Precos!J662</f>
        <v/>
      </c>
      <c r="F662" s="12" t="n"/>
    </row>
    <row r="663">
      <c r="A663" s="9">
        <f>Precos!A663</f>
        <v/>
      </c>
      <c r="B663" s="10">
        <f>INDEX(Precos!$B663:$I663,MATCH(Premissas!$B$8,Precos!$B$3:$I$3,0))</f>
        <v/>
      </c>
      <c r="C663" s="10">
        <f>IF(AND(Premissas!$B$10&gt;1,A663&lt;Premissas!$B$9),B663*Premissas!$B$10,B663)</f>
        <v/>
      </c>
      <c r="D663" s="12" t="n"/>
      <c r="E663" s="10">
        <f>Precos!J663</f>
        <v/>
      </c>
      <c r="F663" s="12" t="n"/>
    </row>
    <row r="664">
      <c r="A664" s="9">
        <f>Precos!A664</f>
        <v/>
      </c>
      <c r="B664" s="10">
        <f>INDEX(Precos!$B664:$I664,MATCH(Premissas!$B$8,Precos!$B$3:$I$3,0))</f>
        <v/>
      </c>
      <c r="C664" s="10">
        <f>IF(AND(Premissas!$B$10&gt;1,A664&lt;Premissas!$B$9),B664*Premissas!$B$10,B664)</f>
        <v/>
      </c>
      <c r="D664" s="12" t="n"/>
      <c r="E664" s="10">
        <f>Precos!J664</f>
        <v/>
      </c>
      <c r="F664" s="12" t="n"/>
    </row>
    <row r="665">
      <c r="A665" s="9">
        <f>Precos!A665</f>
        <v/>
      </c>
      <c r="B665" s="10">
        <f>INDEX(Precos!$B665:$I665,MATCH(Premissas!$B$8,Precos!$B$3:$I$3,0))</f>
        <v/>
      </c>
      <c r="C665" s="10">
        <f>IF(AND(Premissas!$B$10&gt;1,A665&lt;Premissas!$B$9),B665*Premissas!$B$10,B665)</f>
        <v/>
      </c>
      <c r="D665" s="12" t="n"/>
      <c r="E665" s="10">
        <f>Precos!J665</f>
        <v/>
      </c>
      <c r="F665" s="12" t="n"/>
    </row>
    <row r="666">
      <c r="A666" s="9">
        <f>Precos!A666</f>
        <v/>
      </c>
      <c r="B666" s="10">
        <f>INDEX(Precos!$B666:$I666,MATCH(Premissas!$B$8,Precos!$B$3:$I$3,0))</f>
        <v/>
      </c>
      <c r="C666" s="10">
        <f>IF(AND(Premissas!$B$10&gt;1,A666&lt;Premissas!$B$9),B666*Premissas!$B$10,B666)</f>
        <v/>
      </c>
      <c r="D666" s="12" t="n"/>
      <c r="E666" s="10">
        <f>Precos!J666</f>
        <v/>
      </c>
      <c r="F666" s="12" t="n"/>
    </row>
    <row r="667">
      <c r="A667" s="9">
        <f>Precos!A667</f>
        <v/>
      </c>
      <c r="B667" s="10">
        <f>INDEX(Precos!$B667:$I667,MATCH(Premissas!$B$8,Precos!$B$3:$I$3,0))</f>
        <v/>
      </c>
      <c r="C667" s="10">
        <f>IF(AND(Premissas!$B$10&gt;1,A667&lt;Premissas!$B$9),B667*Premissas!$B$10,B667)</f>
        <v/>
      </c>
      <c r="D667" s="12" t="n"/>
      <c r="E667" s="10">
        <f>Precos!J667</f>
        <v/>
      </c>
      <c r="F667" s="12" t="n"/>
    </row>
    <row r="668">
      <c r="A668" s="9">
        <f>Precos!A668</f>
        <v/>
      </c>
      <c r="B668" s="10">
        <f>INDEX(Precos!$B668:$I668,MATCH(Premissas!$B$8,Precos!$B$3:$I$3,0))</f>
        <v/>
      </c>
      <c r="C668" s="10">
        <f>IF(AND(Premissas!$B$10&gt;1,A668&lt;Premissas!$B$9),B668*Premissas!$B$10,B668)</f>
        <v/>
      </c>
      <c r="D668" s="12" t="n"/>
      <c r="E668" s="10">
        <f>Precos!J668</f>
        <v/>
      </c>
      <c r="F668" s="12" t="n"/>
    </row>
    <row r="669">
      <c r="A669" s="9">
        <f>Precos!A669</f>
        <v/>
      </c>
      <c r="B669" s="10">
        <f>INDEX(Precos!$B669:$I669,MATCH(Premissas!$B$8,Precos!$B$3:$I$3,0))</f>
        <v/>
      </c>
      <c r="C669" s="10">
        <f>IF(AND(Premissas!$B$10&gt;1,A669&lt;Premissas!$B$9),B669*Premissas!$B$10,B669)</f>
        <v/>
      </c>
      <c r="D669" s="12" t="n"/>
      <c r="E669" s="10">
        <f>Precos!J669</f>
        <v/>
      </c>
      <c r="F669" s="12" t="n"/>
    </row>
    <row r="670">
      <c r="A670" s="9">
        <f>Precos!A670</f>
        <v/>
      </c>
      <c r="B670" s="10">
        <f>INDEX(Precos!$B670:$I670,MATCH(Premissas!$B$8,Precos!$B$3:$I$3,0))</f>
        <v/>
      </c>
      <c r="C670" s="10">
        <f>IF(AND(Premissas!$B$10&gt;1,A670&lt;Premissas!$B$9),B670*Premissas!$B$10,B670)</f>
        <v/>
      </c>
      <c r="D670" s="12" t="n"/>
      <c r="E670" s="10">
        <f>Precos!J670</f>
        <v/>
      </c>
      <c r="F670" s="12" t="n"/>
    </row>
    <row r="671">
      <c r="A671" s="9">
        <f>Precos!A671</f>
        <v/>
      </c>
      <c r="B671" s="10">
        <f>INDEX(Precos!$B671:$I671,MATCH(Premissas!$B$8,Precos!$B$3:$I$3,0))</f>
        <v/>
      </c>
      <c r="C671" s="10">
        <f>IF(AND(Premissas!$B$10&gt;1,A671&lt;Premissas!$B$9),B671*Premissas!$B$10,B671)</f>
        <v/>
      </c>
      <c r="D671" s="12" t="n"/>
      <c r="E671" s="10">
        <f>Precos!J671</f>
        <v/>
      </c>
      <c r="F671" s="12" t="n"/>
    </row>
    <row r="672">
      <c r="A672" s="9">
        <f>Precos!A672</f>
        <v/>
      </c>
      <c r="B672" s="10">
        <f>INDEX(Precos!$B672:$I672,MATCH(Premissas!$B$8,Precos!$B$3:$I$3,0))</f>
        <v/>
      </c>
      <c r="C672" s="10">
        <f>IF(AND(Premissas!$B$10&gt;1,A672&lt;Premissas!$B$9),B672*Premissas!$B$10,B672)</f>
        <v/>
      </c>
      <c r="D672" s="12" t="n"/>
      <c r="E672" s="10">
        <f>Precos!J672</f>
        <v/>
      </c>
      <c r="F672" s="12" t="n"/>
    </row>
    <row r="673">
      <c r="A673" s="9">
        <f>Precos!A673</f>
        <v/>
      </c>
      <c r="B673" s="10">
        <f>INDEX(Precos!$B673:$I673,MATCH(Premissas!$B$8,Precos!$B$3:$I$3,0))</f>
        <v/>
      </c>
      <c r="C673" s="10">
        <f>IF(AND(Premissas!$B$10&gt;1,A673&lt;Premissas!$B$9),B673*Premissas!$B$10,B673)</f>
        <v/>
      </c>
      <c r="D673" s="12" t="n"/>
      <c r="E673" s="10">
        <f>Precos!J673</f>
        <v/>
      </c>
      <c r="F673" s="12" t="n"/>
    </row>
    <row r="674">
      <c r="A674" s="9">
        <f>Precos!A674</f>
        <v/>
      </c>
      <c r="B674" s="10">
        <f>INDEX(Precos!$B674:$I674,MATCH(Premissas!$B$8,Precos!$B$3:$I$3,0))</f>
        <v/>
      </c>
      <c r="C674" s="10">
        <f>IF(AND(Premissas!$B$10&gt;1,A674&lt;Premissas!$B$9),B674*Premissas!$B$10,B674)</f>
        <v/>
      </c>
      <c r="D674" s="12" t="n"/>
      <c r="E674" s="10">
        <f>Precos!J674</f>
        <v/>
      </c>
      <c r="F674" s="12" t="n"/>
    </row>
    <row r="675">
      <c r="A675" s="9">
        <f>Precos!A675</f>
        <v/>
      </c>
      <c r="B675" s="10">
        <f>INDEX(Precos!$B675:$I675,MATCH(Premissas!$B$8,Precos!$B$3:$I$3,0))</f>
        <v/>
      </c>
      <c r="C675" s="10">
        <f>IF(AND(Premissas!$B$10&gt;1,A675&lt;Premissas!$B$9),B675*Premissas!$B$10,B675)</f>
        <v/>
      </c>
      <c r="D675" s="12" t="n"/>
      <c r="E675" s="10">
        <f>Precos!J675</f>
        <v/>
      </c>
      <c r="F675" s="12" t="n"/>
    </row>
    <row r="676">
      <c r="A676" s="9">
        <f>Precos!A676</f>
        <v/>
      </c>
      <c r="B676" s="10">
        <f>INDEX(Precos!$B676:$I676,MATCH(Premissas!$B$8,Precos!$B$3:$I$3,0))</f>
        <v/>
      </c>
      <c r="C676" s="10">
        <f>IF(AND(Premissas!$B$10&gt;1,A676&lt;Premissas!$B$9),B676*Premissas!$B$10,B676)</f>
        <v/>
      </c>
      <c r="D676" s="12" t="n"/>
      <c r="E676" s="10">
        <f>Precos!J676</f>
        <v/>
      </c>
      <c r="F676" s="12" t="n"/>
    </row>
    <row r="677">
      <c r="A677" s="9">
        <f>Precos!A677</f>
        <v/>
      </c>
      <c r="B677" s="10">
        <f>INDEX(Precos!$B677:$I677,MATCH(Premissas!$B$8,Precos!$B$3:$I$3,0))</f>
        <v/>
      </c>
      <c r="C677" s="10">
        <f>IF(AND(Premissas!$B$10&gt;1,A677&lt;Premissas!$B$9),B677*Premissas!$B$10,B677)</f>
        <v/>
      </c>
      <c r="D677" s="12" t="n"/>
      <c r="E677" s="10">
        <f>Precos!J677</f>
        <v/>
      </c>
      <c r="F677" s="12" t="n"/>
    </row>
    <row r="678">
      <c r="A678" s="9">
        <f>Precos!A678</f>
        <v/>
      </c>
      <c r="B678" s="10">
        <f>INDEX(Precos!$B678:$I678,MATCH(Premissas!$B$8,Precos!$B$3:$I$3,0))</f>
        <v/>
      </c>
      <c r="C678" s="10">
        <f>IF(AND(Premissas!$B$10&gt;1,A678&lt;Premissas!$B$9),B678*Premissas!$B$10,B678)</f>
        <v/>
      </c>
      <c r="D678" s="12" t="n"/>
      <c r="E678" s="10">
        <f>Precos!J678</f>
        <v/>
      </c>
      <c r="F678" s="12" t="n"/>
    </row>
    <row r="679">
      <c r="A679" s="9">
        <f>Precos!A679</f>
        <v/>
      </c>
      <c r="B679" s="10">
        <f>INDEX(Precos!$B679:$I679,MATCH(Premissas!$B$8,Precos!$B$3:$I$3,0))</f>
        <v/>
      </c>
      <c r="C679" s="10">
        <f>IF(AND(Premissas!$B$10&gt;1,A679&lt;Premissas!$B$9),B679*Premissas!$B$10,B679)</f>
        <v/>
      </c>
      <c r="D679" s="12" t="n"/>
      <c r="E679" s="10">
        <f>Precos!J679</f>
        <v/>
      </c>
      <c r="F679" s="12" t="n"/>
    </row>
    <row r="680">
      <c r="A680" s="9">
        <f>Precos!A680</f>
        <v/>
      </c>
      <c r="B680" s="10">
        <f>INDEX(Precos!$B680:$I680,MATCH(Premissas!$B$8,Precos!$B$3:$I$3,0))</f>
        <v/>
      </c>
      <c r="C680" s="10">
        <f>IF(AND(Premissas!$B$10&gt;1,A680&lt;Premissas!$B$9),B680*Premissas!$B$10,B680)</f>
        <v/>
      </c>
      <c r="D680" s="12" t="n"/>
      <c r="E680" s="10">
        <f>Precos!J680</f>
        <v/>
      </c>
      <c r="F680" s="12" t="n"/>
    </row>
    <row r="681">
      <c r="A681" s="9">
        <f>Precos!A681</f>
        <v/>
      </c>
      <c r="B681" s="10">
        <f>INDEX(Precos!$B681:$I681,MATCH(Premissas!$B$8,Precos!$B$3:$I$3,0))</f>
        <v/>
      </c>
      <c r="C681" s="10">
        <f>IF(AND(Premissas!$B$10&gt;1,A681&lt;Premissas!$B$9),B681*Premissas!$B$10,B681)</f>
        <v/>
      </c>
      <c r="D681" s="12" t="n"/>
      <c r="E681" s="10">
        <f>Precos!J681</f>
        <v/>
      </c>
      <c r="F681" s="12" t="n"/>
    </row>
    <row r="682">
      <c r="A682" s="9">
        <f>Precos!A682</f>
        <v/>
      </c>
      <c r="B682" s="10">
        <f>INDEX(Precos!$B682:$I682,MATCH(Premissas!$B$8,Precos!$B$3:$I$3,0))</f>
        <v/>
      </c>
      <c r="C682" s="10">
        <f>IF(AND(Premissas!$B$10&gt;1,A682&lt;Premissas!$B$9),B682*Premissas!$B$10,B682)</f>
        <v/>
      </c>
      <c r="D682" s="12" t="n"/>
      <c r="E682" s="10">
        <f>Precos!J682</f>
        <v/>
      </c>
      <c r="F682" s="12" t="n"/>
    </row>
    <row r="683">
      <c r="A683" s="9">
        <f>Precos!A683</f>
        <v/>
      </c>
      <c r="B683" s="10">
        <f>INDEX(Precos!$B683:$I683,MATCH(Premissas!$B$8,Precos!$B$3:$I$3,0))</f>
        <v/>
      </c>
      <c r="C683" s="10">
        <f>IF(AND(Premissas!$B$10&gt;1,A683&lt;Premissas!$B$9),B683*Premissas!$B$10,B683)</f>
        <v/>
      </c>
      <c r="D683" s="12" t="n"/>
      <c r="E683" s="10">
        <f>Precos!J683</f>
        <v/>
      </c>
      <c r="F683" s="12" t="n"/>
    </row>
    <row r="684">
      <c r="A684" s="9">
        <f>Precos!A684</f>
        <v/>
      </c>
      <c r="B684" s="10">
        <f>INDEX(Precos!$B684:$I684,MATCH(Premissas!$B$8,Precos!$B$3:$I$3,0))</f>
        <v/>
      </c>
      <c r="C684" s="10">
        <f>IF(AND(Premissas!$B$10&gt;1,A684&lt;Premissas!$B$9),B684*Premissas!$B$10,B684)</f>
        <v/>
      </c>
      <c r="D684" s="12" t="n"/>
      <c r="E684" s="10">
        <f>Precos!J684</f>
        <v/>
      </c>
      <c r="F684" s="12" t="n"/>
    </row>
    <row r="685">
      <c r="A685" s="9">
        <f>Precos!A685</f>
        <v/>
      </c>
      <c r="B685" s="10">
        <f>INDEX(Precos!$B685:$I685,MATCH(Premissas!$B$8,Precos!$B$3:$I$3,0))</f>
        <v/>
      </c>
      <c r="C685" s="10">
        <f>IF(AND(Premissas!$B$10&gt;1,A685&lt;Premissas!$B$9),B685*Premissas!$B$10,B685)</f>
        <v/>
      </c>
      <c r="D685" s="12" t="n"/>
      <c r="E685" s="10">
        <f>Precos!J685</f>
        <v/>
      </c>
      <c r="F685" s="12" t="n"/>
    </row>
    <row r="686">
      <c r="A686" s="9">
        <f>Precos!A686</f>
        <v/>
      </c>
      <c r="B686" s="10">
        <f>INDEX(Precos!$B686:$I686,MATCH(Premissas!$B$8,Precos!$B$3:$I$3,0))</f>
        <v/>
      </c>
      <c r="C686" s="10">
        <f>IF(AND(Premissas!$B$10&gt;1,A686&lt;Premissas!$B$9),B686*Premissas!$B$10,B686)</f>
        <v/>
      </c>
      <c r="D686" s="12" t="n"/>
      <c r="E686" s="10">
        <f>Precos!J686</f>
        <v/>
      </c>
      <c r="F686" s="12" t="n"/>
    </row>
    <row r="687">
      <c r="A687" s="9">
        <f>Precos!A687</f>
        <v/>
      </c>
      <c r="B687" s="10">
        <f>INDEX(Precos!$B687:$I687,MATCH(Premissas!$B$8,Precos!$B$3:$I$3,0))</f>
        <v/>
      </c>
      <c r="C687" s="10">
        <f>IF(AND(Premissas!$B$10&gt;1,A687&lt;Premissas!$B$9),B687*Premissas!$B$10,B687)</f>
        <v/>
      </c>
      <c r="D687" s="12" t="n"/>
      <c r="E687" s="10">
        <f>Precos!J687</f>
        <v/>
      </c>
      <c r="F687" s="12" t="n"/>
    </row>
    <row r="688">
      <c r="A688" s="9">
        <f>Precos!A688</f>
        <v/>
      </c>
      <c r="B688" s="10">
        <f>INDEX(Precos!$B688:$I688,MATCH(Premissas!$B$8,Precos!$B$3:$I$3,0))</f>
        <v/>
      </c>
      <c r="C688" s="10">
        <f>IF(AND(Premissas!$B$10&gt;1,A688&lt;Premissas!$B$9),B688*Premissas!$B$10,B688)</f>
        <v/>
      </c>
      <c r="D688" s="12" t="n"/>
      <c r="E688" s="10">
        <f>Precos!J688</f>
        <v/>
      </c>
      <c r="F688" s="12" t="n"/>
    </row>
    <row r="689">
      <c r="A689" s="9">
        <f>Precos!A689</f>
        <v/>
      </c>
      <c r="B689" s="10">
        <f>INDEX(Precos!$B689:$I689,MATCH(Premissas!$B$8,Precos!$B$3:$I$3,0))</f>
        <v/>
      </c>
      <c r="C689" s="10">
        <f>IF(AND(Premissas!$B$10&gt;1,A689&lt;Premissas!$B$9),B689*Premissas!$B$10,B689)</f>
        <v/>
      </c>
      <c r="D689" s="12" t="n"/>
      <c r="E689" s="10">
        <f>Precos!J689</f>
        <v/>
      </c>
      <c r="F689" s="12" t="n"/>
    </row>
    <row r="690">
      <c r="A690" s="9">
        <f>Precos!A690</f>
        <v/>
      </c>
      <c r="B690" s="10">
        <f>INDEX(Precos!$B690:$I690,MATCH(Premissas!$B$8,Precos!$B$3:$I$3,0))</f>
        <v/>
      </c>
      <c r="C690" s="10">
        <f>IF(AND(Premissas!$B$10&gt;1,A690&lt;Premissas!$B$9),B690*Premissas!$B$10,B690)</f>
        <v/>
      </c>
      <c r="D690" s="12" t="n"/>
      <c r="E690" s="10">
        <f>Precos!J690</f>
        <v/>
      </c>
      <c r="F690" s="12" t="n"/>
    </row>
    <row r="691">
      <c r="A691" s="9">
        <f>Precos!A691</f>
        <v/>
      </c>
      <c r="B691" s="10">
        <f>INDEX(Precos!$B691:$I691,MATCH(Premissas!$B$8,Precos!$B$3:$I$3,0))</f>
        <v/>
      </c>
      <c r="C691" s="10">
        <f>IF(AND(Premissas!$B$10&gt;1,A691&lt;Premissas!$B$9),B691*Premissas!$B$10,B691)</f>
        <v/>
      </c>
      <c r="D691" s="12" t="n"/>
      <c r="E691" s="10">
        <f>Precos!J691</f>
        <v/>
      </c>
      <c r="F691" s="12" t="n"/>
    </row>
    <row r="692">
      <c r="A692" s="9">
        <f>Precos!A692</f>
        <v/>
      </c>
      <c r="B692" s="10">
        <f>INDEX(Precos!$B692:$I692,MATCH(Premissas!$B$8,Precos!$B$3:$I$3,0))</f>
        <v/>
      </c>
      <c r="C692" s="10">
        <f>IF(AND(Premissas!$B$10&gt;1,A692&lt;Premissas!$B$9),B692*Premissas!$B$10,B692)</f>
        <v/>
      </c>
      <c r="D692" s="12" t="n"/>
      <c r="E692" s="10">
        <f>Precos!J692</f>
        <v/>
      </c>
      <c r="F692" s="12" t="n"/>
    </row>
    <row r="693">
      <c r="A693" s="9">
        <f>Precos!A693</f>
        <v/>
      </c>
      <c r="B693" s="10">
        <f>INDEX(Precos!$B693:$I693,MATCH(Premissas!$B$8,Precos!$B$3:$I$3,0))</f>
        <v/>
      </c>
      <c r="C693" s="10">
        <f>IF(AND(Premissas!$B$10&gt;1,A693&lt;Premissas!$B$9),B693*Premissas!$B$10,B693)</f>
        <v/>
      </c>
      <c r="D693" s="12" t="n"/>
      <c r="E693" s="10">
        <f>Precos!J693</f>
        <v/>
      </c>
      <c r="F693" s="12" t="n"/>
    </row>
    <row r="694">
      <c r="A694" s="9">
        <f>Precos!A694</f>
        <v/>
      </c>
      <c r="B694" s="10">
        <f>INDEX(Precos!$B694:$I694,MATCH(Premissas!$B$8,Precos!$B$3:$I$3,0))</f>
        <v/>
      </c>
      <c r="C694" s="10">
        <f>IF(AND(Premissas!$B$10&gt;1,A694&lt;Premissas!$B$9),B694*Premissas!$B$10,B694)</f>
        <v/>
      </c>
      <c r="D694" s="12" t="n"/>
      <c r="E694" s="10">
        <f>Precos!J694</f>
        <v/>
      </c>
      <c r="F694" s="12" t="n"/>
    </row>
    <row r="695">
      <c r="A695" s="9">
        <f>Precos!A695</f>
        <v/>
      </c>
      <c r="B695" s="10">
        <f>INDEX(Precos!$B695:$I695,MATCH(Premissas!$B$8,Precos!$B$3:$I$3,0))</f>
        <v/>
      </c>
      <c r="C695" s="10">
        <f>IF(AND(Premissas!$B$10&gt;1,A695&lt;Premissas!$B$9),B695*Premissas!$B$10,B695)</f>
        <v/>
      </c>
      <c r="D695" s="12" t="n"/>
      <c r="E695" s="10">
        <f>Precos!J695</f>
        <v/>
      </c>
      <c r="F695" s="12" t="n"/>
    </row>
    <row r="696">
      <c r="A696" s="9">
        <f>Precos!A696</f>
        <v/>
      </c>
      <c r="B696" s="10">
        <f>INDEX(Precos!$B696:$I696,MATCH(Premissas!$B$8,Precos!$B$3:$I$3,0))</f>
        <v/>
      </c>
      <c r="C696" s="10">
        <f>IF(AND(Premissas!$B$10&gt;1,A696&lt;Premissas!$B$9),B696*Premissas!$B$10,B696)</f>
        <v/>
      </c>
      <c r="D696" s="12" t="n"/>
      <c r="E696" s="10">
        <f>Precos!J696</f>
        <v/>
      </c>
      <c r="F696" s="12" t="n"/>
    </row>
    <row r="697">
      <c r="A697" s="9">
        <f>Precos!A697</f>
        <v/>
      </c>
      <c r="B697" s="10">
        <f>INDEX(Precos!$B697:$I697,MATCH(Premissas!$B$8,Precos!$B$3:$I$3,0))</f>
        <v/>
      </c>
      <c r="C697" s="10">
        <f>IF(AND(Premissas!$B$10&gt;1,A697&lt;Premissas!$B$9),B697*Premissas!$B$10,B697)</f>
        <v/>
      </c>
      <c r="D697" s="12" t="n"/>
      <c r="E697" s="10">
        <f>Precos!J697</f>
        <v/>
      </c>
      <c r="F697" s="12" t="n"/>
    </row>
    <row r="698">
      <c r="A698" s="9">
        <f>Precos!A698</f>
        <v/>
      </c>
      <c r="B698" s="10">
        <f>INDEX(Precos!$B698:$I698,MATCH(Premissas!$B$8,Precos!$B$3:$I$3,0))</f>
        <v/>
      </c>
      <c r="C698" s="10">
        <f>IF(AND(Premissas!$B$10&gt;1,A698&lt;Premissas!$B$9),B698*Premissas!$B$10,B698)</f>
        <v/>
      </c>
      <c r="D698" s="12" t="n"/>
      <c r="E698" s="10">
        <f>Precos!J698</f>
        <v/>
      </c>
      <c r="F698" s="12" t="n"/>
    </row>
    <row r="699">
      <c r="A699" s="9">
        <f>Precos!A699</f>
        <v/>
      </c>
      <c r="B699" s="10">
        <f>INDEX(Precos!$B699:$I699,MATCH(Premissas!$B$8,Precos!$B$3:$I$3,0))</f>
        <v/>
      </c>
      <c r="C699" s="10">
        <f>IF(AND(Premissas!$B$10&gt;1,A699&lt;Premissas!$B$9),B699*Premissas!$B$10,B699)</f>
        <v/>
      </c>
      <c r="D699" s="12" t="n"/>
      <c r="E699" s="10">
        <f>Precos!J699</f>
        <v/>
      </c>
      <c r="F699" s="12" t="n"/>
    </row>
    <row r="700">
      <c r="A700" s="9">
        <f>Precos!A700</f>
        <v/>
      </c>
      <c r="B700" s="10">
        <f>INDEX(Precos!$B700:$I700,MATCH(Premissas!$B$8,Precos!$B$3:$I$3,0))</f>
        <v/>
      </c>
      <c r="C700" s="10">
        <f>IF(AND(Premissas!$B$10&gt;1,A700&lt;Premissas!$B$9),B700*Premissas!$B$10,B700)</f>
        <v/>
      </c>
      <c r="D700" s="12" t="n"/>
      <c r="E700" s="10">
        <f>Precos!J700</f>
        <v/>
      </c>
      <c r="F700" s="12" t="n"/>
    </row>
    <row r="701">
      <c r="A701" s="9">
        <f>Precos!A701</f>
        <v/>
      </c>
      <c r="B701" s="10">
        <f>INDEX(Precos!$B701:$I701,MATCH(Premissas!$B$8,Precos!$B$3:$I$3,0))</f>
        <v/>
      </c>
      <c r="C701" s="10">
        <f>IF(AND(Premissas!$B$10&gt;1,A701&lt;Premissas!$B$9),B701*Premissas!$B$10,B701)</f>
        <v/>
      </c>
      <c r="D701" s="12" t="n"/>
      <c r="E701" s="10">
        <f>Precos!J701</f>
        <v/>
      </c>
      <c r="F701" s="12" t="n"/>
    </row>
    <row r="702">
      <c r="A702" s="9">
        <f>Precos!A702</f>
        <v/>
      </c>
      <c r="B702" s="10">
        <f>INDEX(Precos!$B702:$I702,MATCH(Premissas!$B$8,Precos!$B$3:$I$3,0))</f>
        <v/>
      </c>
      <c r="C702" s="10">
        <f>IF(AND(Premissas!$B$10&gt;1,A702&lt;Premissas!$B$9),B702*Premissas!$B$10,B702)</f>
        <v/>
      </c>
      <c r="D702" s="12" t="n"/>
      <c r="E702" s="10">
        <f>Precos!J702</f>
        <v/>
      </c>
      <c r="F702" s="12" t="n"/>
    </row>
    <row r="703">
      <c r="A703" s="9">
        <f>Precos!A703</f>
        <v/>
      </c>
      <c r="B703" s="10">
        <f>INDEX(Precos!$B703:$I703,MATCH(Premissas!$B$8,Precos!$B$3:$I$3,0))</f>
        <v/>
      </c>
      <c r="C703" s="10">
        <f>IF(AND(Premissas!$B$10&gt;1,A703&lt;Premissas!$B$9),B703*Premissas!$B$10,B703)</f>
        <v/>
      </c>
      <c r="D703" s="12" t="n"/>
      <c r="E703" s="10">
        <f>Precos!J703</f>
        <v/>
      </c>
      <c r="F703" s="12" t="n"/>
    </row>
    <row r="704">
      <c r="A704" s="9">
        <f>Precos!A704</f>
        <v/>
      </c>
      <c r="B704" s="10">
        <f>INDEX(Precos!$B704:$I704,MATCH(Premissas!$B$8,Precos!$B$3:$I$3,0))</f>
        <v/>
      </c>
      <c r="C704" s="10">
        <f>IF(AND(Premissas!$B$10&gt;1,A704&lt;Premissas!$B$9),B704*Premissas!$B$10,B704)</f>
        <v/>
      </c>
      <c r="D704" s="12" t="n"/>
      <c r="E704" s="10">
        <f>Precos!J704</f>
        <v/>
      </c>
      <c r="F704" s="12" t="n"/>
    </row>
    <row r="705">
      <c r="A705" s="9">
        <f>Precos!A705</f>
        <v/>
      </c>
      <c r="B705" s="10">
        <f>INDEX(Precos!$B705:$I705,MATCH(Premissas!$B$8,Precos!$B$3:$I$3,0))</f>
        <v/>
      </c>
      <c r="C705" s="10">
        <f>IF(AND(Premissas!$B$10&gt;1,A705&lt;Premissas!$B$9),B705*Premissas!$B$10,B705)</f>
        <v/>
      </c>
      <c r="D705" s="12" t="n"/>
      <c r="E705" s="10">
        <f>Precos!J705</f>
        <v/>
      </c>
      <c r="F705" s="12" t="n"/>
    </row>
    <row r="706">
      <c r="A706" s="9">
        <f>Precos!A706</f>
        <v/>
      </c>
      <c r="B706" s="10">
        <f>INDEX(Precos!$B706:$I706,MATCH(Premissas!$B$8,Precos!$B$3:$I$3,0))</f>
        <v/>
      </c>
      <c r="C706" s="10">
        <f>IF(AND(Premissas!$B$10&gt;1,A706&lt;Premissas!$B$9),B706*Premissas!$B$10,B706)</f>
        <v/>
      </c>
      <c r="D706" s="12" t="n"/>
      <c r="E706" s="10">
        <f>Precos!J706</f>
        <v/>
      </c>
      <c r="F706" s="12" t="n"/>
    </row>
    <row r="707">
      <c r="A707" s="9">
        <f>Precos!A707</f>
        <v/>
      </c>
      <c r="B707" s="10">
        <f>INDEX(Precos!$B707:$I707,MATCH(Premissas!$B$8,Precos!$B$3:$I$3,0))</f>
        <v/>
      </c>
      <c r="C707" s="10">
        <f>IF(AND(Premissas!$B$10&gt;1,A707&lt;Premissas!$B$9),B707*Premissas!$B$10,B707)</f>
        <v/>
      </c>
      <c r="D707" s="12" t="n"/>
      <c r="E707" s="10">
        <f>Precos!J707</f>
        <v/>
      </c>
      <c r="F707" s="12" t="n"/>
    </row>
    <row r="708">
      <c r="A708" s="9">
        <f>Precos!A708</f>
        <v/>
      </c>
      <c r="B708" s="10">
        <f>INDEX(Precos!$B708:$I708,MATCH(Premissas!$B$8,Precos!$B$3:$I$3,0))</f>
        <v/>
      </c>
      <c r="C708" s="10">
        <f>IF(AND(Premissas!$B$10&gt;1,A708&lt;Premissas!$B$9),B708*Premissas!$B$10,B708)</f>
        <v/>
      </c>
      <c r="D708" s="12" t="n"/>
      <c r="E708" s="10">
        <f>Precos!J708</f>
        <v/>
      </c>
      <c r="F708" s="12" t="n"/>
    </row>
    <row r="709">
      <c r="A709" s="9">
        <f>Precos!A709</f>
        <v/>
      </c>
      <c r="B709" s="10">
        <f>INDEX(Precos!$B709:$I709,MATCH(Premissas!$B$8,Precos!$B$3:$I$3,0))</f>
        <v/>
      </c>
      <c r="C709" s="10">
        <f>IF(AND(Premissas!$B$10&gt;1,A709&lt;Premissas!$B$9),B709*Premissas!$B$10,B709)</f>
        <v/>
      </c>
      <c r="D709" s="12" t="n"/>
      <c r="E709" s="10">
        <f>Precos!J709</f>
        <v/>
      </c>
      <c r="F709" s="12" t="n"/>
    </row>
    <row r="710">
      <c r="A710" s="9">
        <f>Precos!A710</f>
        <v/>
      </c>
      <c r="B710" s="10">
        <f>INDEX(Precos!$B710:$I710,MATCH(Premissas!$B$8,Precos!$B$3:$I$3,0))</f>
        <v/>
      </c>
      <c r="C710" s="10">
        <f>IF(AND(Premissas!$B$10&gt;1,A710&lt;Premissas!$B$9),B710*Premissas!$B$10,B710)</f>
        <v/>
      </c>
      <c r="D710" s="12" t="n"/>
      <c r="E710" s="10">
        <f>Precos!J710</f>
        <v/>
      </c>
      <c r="F710" s="12" t="n"/>
    </row>
    <row r="711">
      <c r="A711" s="9">
        <f>Precos!A711</f>
        <v/>
      </c>
      <c r="B711" s="10">
        <f>INDEX(Precos!$B711:$I711,MATCH(Premissas!$B$8,Precos!$B$3:$I$3,0))</f>
        <v/>
      </c>
      <c r="C711" s="10">
        <f>IF(AND(Premissas!$B$10&gt;1,A711&lt;Premissas!$B$9),B711*Premissas!$B$10,B711)</f>
        <v/>
      </c>
      <c r="D711" s="12" t="n"/>
      <c r="E711" s="10">
        <f>Precos!J711</f>
        <v/>
      </c>
      <c r="F711" s="12" t="n"/>
    </row>
    <row r="712">
      <c r="A712" s="9">
        <f>Precos!A712</f>
        <v/>
      </c>
      <c r="B712" s="10">
        <f>INDEX(Precos!$B712:$I712,MATCH(Premissas!$B$8,Precos!$B$3:$I$3,0))</f>
        <v/>
      </c>
      <c r="C712" s="10">
        <f>IF(AND(Premissas!$B$10&gt;1,A712&lt;Premissas!$B$9),B712*Premissas!$B$10,B712)</f>
        <v/>
      </c>
      <c r="D712" s="12" t="n"/>
      <c r="E712" s="10">
        <f>Precos!J712</f>
        <v/>
      </c>
      <c r="F712" s="12" t="n"/>
    </row>
    <row r="713">
      <c r="A713" s="9">
        <f>Precos!A713</f>
        <v/>
      </c>
      <c r="B713" s="10">
        <f>INDEX(Precos!$B713:$I713,MATCH(Premissas!$B$8,Precos!$B$3:$I$3,0))</f>
        <v/>
      </c>
      <c r="C713" s="10">
        <f>IF(AND(Premissas!$B$10&gt;1,A713&lt;Premissas!$B$9),B713*Premissas!$B$10,B713)</f>
        <v/>
      </c>
      <c r="D713" s="12" t="n"/>
      <c r="E713" s="10">
        <f>Precos!J713</f>
        <v/>
      </c>
      <c r="F713" s="12" t="n"/>
    </row>
    <row r="714">
      <c r="A714" s="9">
        <f>Precos!A714</f>
        <v/>
      </c>
      <c r="B714" s="10">
        <f>INDEX(Precos!$B714:$I714,MATCH(Premissas!$B$8,Precos!$B$3:$I$3,0))</f>
        <v/>
      </c>
      <c r="C714" s="10">
        <f>IF(AND(Premissas!$B$10&gt;1,A714&lt;Premissas!$B$9),B714*Premissas!$B$10,B714)</f>
        <v/>
      </c>
      <c r="D714" s="12" t="n"/>
      <c r="E714" s="10">
        <f>Precos!J714</f>
        <v/>
      </c>
      <c r="F714" s="12" t="n"/>
    </row>
    <row r="715">
      <c r="A715" s="9">
        <f>Precos!A715</f>
        <v/>
      </c>
      <c r="B715" s="10">
        <f>INDEX(Precos!$B715:$I715,MATCH(Premissas!$B$8,Precos!$B$3:$I$3,0))</f>
        <v/>
      </c>
      <c r="C715" s="10">
        <f>IF(AND(Premissas!$B$10&gt;1,A715&lt;Premissas!$B$9),B715*Premissas!$B$10,B715)</f>
        <v/>
      </c>
      <c r="D715" s="12" t="n"/>
      <c r="E715" s="10">
        <f>Precos!J715</f>
        <v/>
      </c>
      <c r="F715" s="12" t="n"/>
    </row>
    <row r="716">
      <c r="A716" s="9">
        <f>Precos!A716</f>
        <v/>
      </c>
      <c r="B716" s="10">
        <f>INDEX(Precos!$B716:$I716,MATCH(Premissas!$B$8,Precos!$B$3:$I$3,0))</f>
        <v/>
      </c>
      <c r="C716" s="10">
        <f>IF(AND(Premissas!$B$10&gt;1,A716&lt;Premissas!$B$9),B716*Premissas!$B$10,B716)</f>
        <v/>
      </c>
      <c r="D716" s="12" t="n"/>
      <c r="E716" s="10">
        <f>Precos!J716</f>
        <v/>
      </c>
      <c r="F716" s="12" t="n"/>
    </row>
    <row r="717">
      <c r="A717" s="9">
        <f>Precos!A717</f>
        <v/>
      </c>
      <c r="B717" s="10">
        <f>INDEX(Precos!$B717:$I717,MATCH(Premissas!$B$8,Precos!$B$3:$I$3,0))</f>
        <v/>
      </c>
      <c r="C717" s="10">
        <f>IF(AND(Premissas!$B$10&gt;1,A717&lt;Premissas!$B$9),B717*Premissas!$B$10,B717)</f>
        <v/>
      </c>
      <c r="D717" s="12" t="n"/>
      <c r="E717" s="10">
        <f>Precos!J717</f>
        <v/>
      </c>
      <c r="F717" s="12" t="n"/>
    </row>
    <row r="718">
      <c r="A718" s="9">
        <f>Precos!A718</f>
        <v/>
      </c>
      <c r="B718" s="10">
        <f>INDEX(Precos!$B718:$I718,MATCH(Premissas!$B$8,Precos!$B$3:$I$3,0))</f>
        <v/>
      </c>
      <c r="C718" s="10">
        <f>IF(AND(Premissas!$B$10&gt;1,A718&lt;Premissas!$B$9),B718*Premissas!$B$10,B718)</f>
        <v/>
      </c>
      <c r="D718" s="12" t="n"/>
      <c r="E718" s="10">
        <f>Precos!J718</f>
        <v/>
      </c>
      <c r="F718" s="12" t="n"/>
    </row>
    <row r="719">
      <c r="A719" s="9">
        <f>Precos!A719</f>
        <v/>
      </c>
      <c r="B719" s="10">
        <f>INDEX(Precos!$B719:$I719,MATCH(Premissas!$B$8,Precos!$B$3:$I$3,0))</f>
        <v/>
      </c>
      <c r="C719" s="10">
        <f>IF(AND(Premissas!$B$10&gt;1,A719&lt;Premissas!$B$9),B719*Premissas!$B$10,B719)</f>
        <v/>
      </c>
      <c r="D719" s="12" t="n"/>
      <c r="E719" s="10">
        <f>Precos!J719</f>
        <v/>
      </c>
      <c r="F719" s="12" t="n"/>
    </row>
    <row r="720">
      <c r="A720" s="9">
        <f>Precos!A720</f>
        <v/>
      </c>
      <c r="B720" s="10">
        <f>INDEX(Precos!$B720:$I720,MATCH(Premissas!$B$8,Precos!$B$3:$I$3,0))</f>
        <v/>
      </c>
      <c r="C720" s="10">
        <f>IF(AND(Premissas!$B$10&gt;1,A720&lt;Premissas!$B$9),B720*Premissas!$B$10,B720)</f>
        <v/>
      </c>
      <c r="D720" s="12" t="n"/>
      <c r="E720" s="10">
        <f>Precos!J720</f>
        <v/>
      </c>
      <c r="F720" s="12" t="n"/>
    </row>
    <row r="721">
      <c r="A721" s="9">
        <f>Precos!A721</f>
        <v/>
      </c>
      <c r="B721" s="10">
        <f>INDEX(Precos!$B721:$I721,MATCH(Premissas!$B$8,Precos!$B$3:$I$3,0))</f>
        <v/>
      </c>
      <c r="C721" s="10">
        <f>IF(AND(Premissas!$B$10&gt;1,A721&lt;Premissas!$B$9),B721*Premissas!$B$10,B721)</f>
        <v/>
      </c>
      <c r="D721" s="12" t="n"/>
      <c r="E721" s="10">
        <f>Precos!J721</f>
        <v/>
      </c>
      <c r="F721" s="12" t="n"/>
    </row>
    <row r="722">
      <c r="A722" s="9">
        <f>Precos!A722</f>
        <v/>
      </c>
      <c r="B722" s="10">
        <f>INDEX(Precos!$B722:$I722,MATCH(Premissas!$B$8,Precos!$B$3:$I$3,0))</f>
        <v/>
      </c>
      <c r="C722" s="10">
        <f>IF(AND(Premissas!$B$10&gt;1,A722&lt;Premissas!$B$9),B722*Premissas!$B$10,B722)</f>
        <v/>
      </c>
      <c r="D722" s="12" t="n"/>
      <c r="E722" s="10">
        <f>Precos!J722</f>
        <v/>
      </c>
      <c r="F722" s="12" t="n"/>
    </row>
    <row r="723">
      <c r="A723" s="9">
        <f>Precos!A723</f>
        <v/>
      </c>
      <c r="B723" s="10">
        <f>INDEX(Precos!$B723:$I723,MATCH(Premissas!$B$8,Precos!$B$3:$I$3,0))</f>
        <v/>
      </c>
      <c r="C723" s="10">
        <f>IF(AND(Premissas!$B$10&gt;1,A723&lt;Premissas!$B$9),B723*Premissas!$B$10,B723)</f>
        <v/>
      </c>
      <c r="D723" s="12" t="n"/>
      <c r="E723" s="10">
        <f>Precos!J723</f>
        <v/>
      </c>
      <c r="F723" s="12" t="n"/>
    </row>
    <row r="724">
      <c r="A724" s="9">
        <f>Precos!A724</f>
        <v/>
      </c>
      <c r="B724" s="10">
        <f>INDEX(Precos!$B724:$I724,MATCH(Premissas!$B$8,Precos!$B$3:$I$3,0))</f>
        <v/>
      </c>
      <c r="C724" s="10">
        <f>IF(AND(Premissas!$B$10&gt;1,A724&lt;Premissas!$B$9),B724*Premissas!$B$10,B724)</f>
        <v/>
      </c>
      <c r="D724" s="12" t="n"/>
      <c r="E724" s="10">
        <f>Precos!J724</f>
        <v/>
      </c>
      <c r="F724" s="12" t="n"/>
    </row>
    <row r="725">
      <c r="A725" s="9">
        <f>Precos!A725</f>
        <v/>
      </c>
      <c r="B725" s="10">
        <f>INDEX(Precos!$B725:$I725,MATCH(Premissas!$B$8,Precos!$B$3:$I$3,0))</f>
        <v/>
      </c>
      <c r="C725" s="10">
        <f>IF(AND(Premissas!$B$10&gt;1,A725&lt;Premissas!$B$9),B725*Premissas!$B$10,B725)</f>
        <v/>
      </c>
      <c r="D725" s="12" t="n"/>
      <c r="E725" s="10">
        <f>Precos!J725</f>
        <v/>
      </c>
      <c r="F725" s="12" t="n"/>
    </row>
    <row r="726">
      <c r="A726" s="9">
        <f>Precos!A726</f>
        <v/>
      </c>
      <c r="B726" s="10">
        <f>INDEX(Precos!$B726:$I726,MATCH(Premissas!$B$8,Precos!$B$3:$I$3,0))</f>
        <v/>
      </c>
      <c r="C726" s="10">
        <f>IF(AND(Premissas!$B$10&gt;1,A726&lt;Premissas!$B$9),B726*Premissas!$B$10,B726)</f>
        <v/>
      </c>
      <c r="D726" s="12" t="n"/>
      <c r="E726" s="10">
        <f>Precos!J726</f>
        <v/>
      </c>
      <c r="F726" s="12" t="n"/>
    </row>
    <row r="727">
      <c r="A727" s="9">
        <f>Precos!A727</f>
        <v/>
      </c>
      <c r="B727" s="10">
        <f>INDEX(Precos!$B727:$I727,MATCH(Premissas!$B$8,Precos!$B$3:$I$3,0))</f>
        <v/>
      </c>
      <c r="C727" s="10">
        <f>IF(AND(Premissas!$B$10&gt;1,A727&lt;Premissas!$B$9),B727*Premissas!$B$10,B727)</f>
        <v/>
      </c>
      <c r="D727" s="12" t="n"/>
      <c r="E727" s="10">
        <f>Precos!J727</f>
        <v/>
      </c>
      <c r="F727" s="12" t="n"/>
    </row>
    <row r="728">
      <c r="A728" s="9">
        <f>Precos!A728</f>
        <v/>
      </c>
      <c r="B728" s="10">
        <f>INDEX(Precos!$B728:$I728,MATCH(Premissas!$B$8,Precos!$B$3:$I$3,0))</f>
        <v/>
      </c>
      <c r="C728" s="10">
        <f>IF(AND(Premissas!$B$10&gt;1,A728&lt;Premissas!$B$9),B728*Premissas!$B$10,B728)</f>
        <v/>
      </c>
      <c r="D728" s="12" t="n"/>
      <c r="E728" s="10">
        <f>Precos!J728</f>
        <v/>
      </c>
      <c r="F728" s="12" t="n"/>
    </row>
    <row r="729">
      <c r="A729" s="9">
        <f>Precos!A729</f>
        <v/>
      </c>
      <c r="B729" s="10">
        <f>INDEX(Precos!$B729:$I729,MATCH(Premissas!$B$8,Precos!$B$3:$I$3,0))</f>
        <v/>
      </c>
      <c r="C729" s="10">
        <f>IF(AND(Premissas!$B$10&gt;1,A729&lt;Premissas!$B$9),B729*Premissas!$B$10,B729)</f>
        <v/>
      </c>
      <c r="D729" s="12" t="n"/>
      <c r="E729" s="10">
        <f>Precos!J729</f>
        <v/>
      </c>
      <c r="F729" s="12" t="n"/>
    </row>
    <row r="730">
      <c r="A730" s="9">
        <f>Precos!A730</f>
        <v/>
      </c>
      <c r="B730" s="10">
        <f>INDEX(Precos!$B730:$I730,MATCH(Premissas!$B$8,Precos!$B$3:$I$3,0))</f>
        <v/>
      </c>
      <c r="C730" s="10">
        <f>IF(AND(Premissas!$B$10&gt;1,A730&lt;Premissas!$B$9),B730*Premissas!$B$10,B730)</f>
        <v/>
      </c>
      <c r="D730" s="12" t="n"/>
      <c r="E730" s="10">
        <f>Precos!J730</f>
        <v/>
      </c>
      <c r="F730" s="12" t="n"/>
    </row>
    <row r="731">
      <c r="A731" s="9">
        <f>Precos!A731</f>
        <v/>
      </c>
      <c r="B731" s="10">
        <f>INDEX(Precos!$B731:$I731,MATCH(Premissas!$B$8,Precos!$B$3:$I$3,0))</f>
        <v/>
      </c>
      <c r="C731" s="10">
        <f>IF(AND(Premissas!$B$10&gt;1,A731&lt;Premissas!$B$9),B731*Premissas!$B$10,B731)</f>
        <v/>
      </c>
      <c r="D731" s="12" t="n"/>
      <c r="E731" s="10">
        <f>Precos!J731</f>
        <v/>
      </c>
      <c r="F731" s="12" t="n"/>
    </row>
    <row r="732">
      <c r="A732" s="9">
        <f>Precos!A732</f>
        <v/>
      </c>
      <c r="B732" s="10">
        <f>INDEX(Precos!$B732:$I732,MATCH(Premissas!$B$8,Precos!$B$3:$I$3,0))</f>
        <v/>
      </c>
      <c r="C732" s="10">
        <f>IF(AND(Premissas!$B$10&gt;1,A732&lt;Premissas!$B$9),B732*Premissas!$B$10,B732)</f>
        <v/>
      </c>
      <c r="D732" s="12" t="n"/>
      <c r="E732" s="10">
        <f>Precos!J732</f>
        <v/>
      </c>
      <c r="F732" s="12" t="n"/>
    </row>
    <row r="733">
      <c r="A733" s="9">
        <f>Precos!A733</f>
        <v/>
      </c>
      <c r="B733" s="10">
        <f>INDEX(Precos!$B733:$I733,MATCH(Premissas!$B$8,Precos!$B$3:$I$3,0))</f>
        <v/>
      </c>
      <c r="C733" s="10">
        <f>IF(AND(Premissas!$B$10&gt;1,A733&lt;Premissas!$B$9),B733*Premissas!$B$10,B733)</f>
        <v/>
      </c>
      <c r="D733" s="12" t="n"/>
      <c r="E733" s="10">
        <f>Precos!J733</f>
        <v/>
      </c>
      <c r="F733" s="12" t="n"/>
    </row>
    <row r="734">
      <c r="A734" s="9">
        <f>Precos!A734</f>
        <v/>
      </c>
      <c r="B734" s="10">
        <f>INDEX(Precos!$B734:$I734,MATCH(Premissas!$B$8,Precos!$B$3:$I$3,0))</f>
        <v/>
      </c>
      <c r="C734" s="10">
        <f>IF(AND(Premissas!$B$10&gt;1,A734&lt;Premissas!$B$9),B734*Premissas!$B$10,B734)</f>
        <v/>
      </c>
      <c r="D734" s="12" t="n"/>
      <c r="E734" s="10">
        <f>Precos!J734</f>
        <v/>
      </c>
      <c r="F734" s="12" t="n"/>
    </row>
    <row r="735">
      <c r="A735" s="9">
        <f>Precos!A735</f>
        <v/>
      </c>
      <c r="B735" s="10">
        <f>INDEX(Precos!$B735:$I735,MATCH(Premissas!$B$8,Precos!$B$3:$I$3,0))</f>
        <v/>
      </c>
      <c r="C735" s="10">
        <f>IF(AND(Premissas!$B$10&gt;1,A735&lt;Premissas!$B$9),B735*Premissas!$B$10,B735)</f>
        <v/>
      </c>
      <c r="D735" s="12" t="n"/>
      <c r="E735" s="10">
        <f>Precos!J735</f>
        <v/>
      </c>
      <c r="F735" s="12" t="n"/>
    </row>
    <row r="736">
      <c r="A736" s="9">
        <f>Precos!A736</f>
        <v/>
      </c>
      <c r="B736" s="10">
        <f>INDEX(Precos!$B736:$I736,MATCH(Premissas!$B$8,Precos!$B$3:$I$3,0))</f>
        <v/>
      </c>
      <c r="C736" s="10">
        <f>IF(AND(Premissas!$B$10&gt;1,A736&lt;Premissas!$B$9),B736*Premissas!$B$10,B736)</f>
        <v/>
      </c>
      <c r="D736" s="12" t="n"/>
      <c r="E736" s="10">
        <f>Precos!J736</f>
        <v/>
      </c>
      <c r="F736" s="12" t="n"/>
    </row>
    <row r="737">
      <c r="A737" s="9">
        <f>Precos!A737</f>
        <v/>
      </c>
      <c r="B737" s="10">
        <f>INDEX(Precos!$B737:$I737,MATCH(Premissas!$B$8,Precos!$B$3:$I$3,0))</f>
        <v/>
      </c>
      <c r="C737" s="10">
        <f>IF(AND(Premissas!$B$10&gt;1,A737&lt;Premissas!$B$9),B737*Premissas!$B$10,B737)</f>
        <v/>
      </c>
      <c r="D737" s="12" t="n"/>
      <c r="E737" s="10">
        <f>Precos!J737</f>
        <v/>
      </c>
      <c r="F737" s="12" t="n"/>
    </row>
    <row r="738">
      <c r="A738" s="9">
        <f>Precos!A738</f>
        <v/>
      </c>
      <c r="B738" s="10">
        <f>INDEX(Precos!$B738:$I738,MATCH(Premissas!$B$8,Precos!$B$3:$I$3,0))</f>
        <v/>
      </c>
      <c r="C738" s="10">
        <f>IF(AND(Premissas!$B$10&gt;1,A738&lt;Premissas!$B$9),B738*Premissas!$B$10,B738)</f>
        <v/>
      </c>
      <c r="D738" s="12" t="n"/>
      <c r="E738" s="10">
        <f>Precos!J738</f>
        <v/>
      </c>
      <c r="F738" s="12" t="n"/>
    </row>
    <row r="739">
      <c r="A739" s="9">
        <f>Precos!A739</f>
        <v/>
      </c>
      <c r="B739" s="10">
        <f>INDEX(Precos!$B739:$I739,MATCH(Premissas!$B$8,Precos!$B$3:$I$3,0))</f>
        <v/>
      </c>
      <c r="C739" s="10">
        <f>IF(AND(Premissas!$B$10&gt;1,A739&lt;Premissas!$B$9),B739*Premissas!$B$10,B739)</f>
        <v/>
      </c>
      <c r="D739" s="12" t="n"/>
      <c r="E739" s="10">
        <f>Precos!J739</f>
        <v/>
      </c>
      <c r="F739" s="12" t="n"/>
    </row>
    <row r="740">
      <c r="A740" s="9">
        <f>Precos!A740</f>
        <v/>
      </c>
      <c r="B740" s="10">
        <f>INDEX(Precos!$B740:$I740,MATCH(Premissas!$B$8,Precos!$B$3:$I$3,0))</f>
        <v/>
      </c>
      <c r="C740" s="10">
        <f>IF(AND(Premissas!$B$10&gt;1,A740&lt;Premissas!$B$9),B740*Premissas!$B$10,B740)</f>
        <v/>
      </c>
      <c r="D740" s="12" t="n"/>
      <c r="E740" s="10">
        <f>Precos!J740</f>
        <v/>
      </c>
      <c r="F740" s="12" t="n"/>
    </row>
    <row r="741">
      <c r="A741" s="9">
        <f>Precos!A741</f>
        <v/>
      </c>
      <c r="B741" s="10">
        <f>INDEX(Precos!$B741:$I741,MATCH(Premissas!$B$8,Precos!$B$3:$I$3,0))</f>
        <v/>
      </c>
      <c r="C741" s="10">
        <f>IF(AND(Premissas!$B$10&gt;1,A741&lt;Premissas!$B$9),B741*Premissas!$B$10,B741)</f>
        <v/>
      </c>
      <c r="D741" s="12" t="n"/>
      <c r="E741" s="10">
        <f>Precos!J741</f>
        <v/>
      </c>
      <c r="F741" s="12" t="n"/>
    </row>
    <row r="742">
      <c r="A742" s="9">
        <f>Precos!A742</f>
        <v/>
      </c>
      <c r="B742" s="10">
        <f>INDEX(Precos!$B742:$I742,MATCH(Premissas!$B$8,Precos!$B$3:$I$3,0))</f>
        <v/>
      </c>
      <c r="C742" s="10">
        <f>IF(AND(Premissas!$B$10&gt;1,A742&lt;Premissas!$B$9),B742*Premissas!$B$10,B742)</f>
        <v/>
      </c>
      <c r="D742" s="12" t="n"/>
      <c r="E742" s="10">
        <f>Precos!J742</f>
        <v/>
      </c>
      <c r="F742" s="12" t="n"/>
    </row>
    <row r="743">
      <c r="A743" s="9">
        <f>Precos!A743</f>
        <v/>
      </c>
      <c r="B743" s="10">
        <f>INDEX(Precos!$B743:$I743,MATCH(Premissas!$B$8,Precos!$B$3:$I$3,0))</f>
        <v/>
      </c>
      <c r="C743" s="10">
        <f>IF(AND(Premissas!$B$10&gt;1,A743&lt;Premissas!$B$9),B743*Premissas!$B$10,B743)</f>
        <v/>
      </c>
      <c r="D743" s="12" t="n"/>
      <c r="E743" s="10">
        <f>Precos!J743</f>
        <v/>
      </c>
      <c r="F743" s="12" t="n"/>
    </row>
    <row r="744">
      <c r="A744" s="9">
        <f>Precos!A744</f>
        <v/>
      </c>
      <c r="B744" s="10">
        <f>INDEX(Precos!$B744:$I744,MATCH(Premissas!$B$8,Precos!$B$3:$I$3,0))</f>
        <v/>
      </c>
      <c r="C744" s="10">
        <f>IF(AND(Premissas!$B$10&gt;1,A744&lt;Premissas!$B$9),B744*Premissas!$B$10,B744)</f>
        <v/>
      </c>
      <c r="D744" s="12" t="n"/>
      <c r="E744" s="10">
        <f>Precos!J744</f>
        <v/>
      </c>
      <c r="F744" s="12" t="n"/>
    </row>
    <row r="745">
      <c r="A745" s="9">
        <f>Precos!A745</f>
        <v/>
      </c>
      <c r="B745" s="10">
        <f>INDEX(Precos!$B745:$I745,MATCH(Premissas!$B$8,Precos!$B$3:$I$3,0))</f>
        <v/>
      </c>
      <c r="C745" s="10">
        <f>IF(AND(Premissas!$B$10&gt;1,A745&lt;Premissas!$B$9),B745*Premissas!$B$10,B745)</f>
        <v/>
      </c>
      <c r="D745" s="12" t="n"/>
      <c r="E745" s="10">
        <f>Precos!J745</f>
        <v/>
      </c>
      <c r="F745" s="12" t="n"/>
    </row>
    <row r="746">
      <c r="A746" s="9">
        <f>Precos!A746</f>
        <v/>
      </c>
      <c r="B746" s="10">
        <f>INDEX(Precos!$B746:$I746,MATCH(Premissas!$B$8,Precos!$B$3:$I$3,0))</f>
        <v/>
      </c>
      <c r="C746" s="10">
        <f>IF(AND(Premissas!$B$10&gt;1,A746&lt;Premissas!$B$9),B746*Premissas!$B$10,B746)</f>
        <v/>
      </c>
      <c r="D746" s="12" t="n"/>
      <c r="E746" s="10">
        <f>Precos!J746</f>
        <v/>
      </c>
      <c r="F746" s="12" t="n"/>
    </row>
    <row r="747">
      <c r="A747" s="9">
        <f>Precos!A747</f>
        <v/>
      </c>
      <c r="B747" s="10">
        <f>INDEX(Precos!$B747:$I747,MATCH(Premissas!$B$8,Precos!$B$3:$I$3,0))</f>
        <v/>
      </c>
      <c r="C747" s="10">
        <f>IF(AND(Premissas!$B$10&gt;1,A747&lt;Premissas!$B$9),B747*Premissas!$B$10,B747)</f>
        <v/>
      </c>
      <c r="D747" s="12" t="n"/>
      <c r="E747" s="10">
        <f>Precos!J747</f>
        <v/>
      </c>
      <c r="F747" s="12" t="n"/>
    </row>
    <row r="748">
      <c r="A748" s="9">
        <f>Precos!A748</f>
        <v/>
      </c>
      <c r="B748" s="10">
        <f>INDEX(Precos!$B748:$I748,MATCH(Premissas!$B$8,Precos!$B$3:$I$3,0))</f>
        <v/>
      </c>
      <c r="C748" s="10">
        <f>IF(AND(Premissas!$B$10&gt;1,A748&lt;Premissas!$B$9),B748*Premissas!$B$10,B748)</f>
        <v/>
      </c>
      <c r="D748" s="12" t="n"/>
      <c r="E748" s="10">
        <f>Precos!J748</f>
        <v/>
      </c>
      <c r="F748" s="12" t="n"/>
    </row>
    <row r="749">
      <c r="A749" s="9">
        <f>Precos!A749</f>
        <v/>
      </c>
      <c r="B749" s="10">
        <f>INDEX(Precos!$B749:$I749,MATCH(Premissas!$B$8,Precos!$B$3:$I$3,0))</f>
        <v/>
      </c>
      <c r="C749" s="10">
        <f>IF(AND(Premissas!$B$10&gt;1,A749&lt;Premissas!$B$9),B749*Premissas!$B$10,B749)</f>
        <v/>
      </c>
      <c r="D749" s="12" t="n"/>
      <c r="E749" s="10">
        <f>Precos!J749</f>
        <v/>
      </c>
      <c r="F749" s="12" t="n"/>
    </row>
    <row r="750">
      <c r="A750" s="9">
        <f>Precos!A750</f>
        <v/>
      </c>
      <c r="B750" s="10">
        <f>INDEX(Precos!$B750:$I750,MATCH(Premissas!$B$8,Precos!$B$3:$I$3,0))</f>
        <v/>
      </c>
      <c r="C750" s="10">
        <f>IF(AND(Premissas!$B$10&gt;1,A750&lt;Premissas!$B$9),B750*Premissas!$B$10,B750)</f>
        <v/>
      </c>
      <c r="D750" s="12" t="n"/>
      <c r="E750" s="10">
        <f>Precos!J750</f>
        <v/>
      </c>
      <c r="F750" s="12" t="n"/>
    </row>
    <row r="751">
      <c r="A751" s="9">
        <f>Precos!A751</f>
        <v/>
      </c>
      <c r="B751" s="10">
        <f>INDEX(Precos!$B751:$I751,MATCH(Premissas!$B$8,Precos!$B$3:$I$3,0))</f>
        <v/>
      </c>
      <c r="C751" s="10">
        <f>IF(AND(Premissas!$B$10&gt;1,A751&lt;Premissas!$B$9),B751*Premissas!$B$10,B751)</f>
        <v/>
      </c>
      <c r="D751" s="12" t="n"/>
      <c r="E751" s="10">
        <f>Precos!J751</f>
        <v/>
      </c>
      <c r="F751" s="12" t="n"/>
    </row>
    <row r="752">
      <c r="A752" s="9">
        <f>Precos!A752</f>
        <v/>
      </c>
      <c r="B752" s="10">
        <f>INDEX(Precos!$B752:$I752,MATCH(Premissas!$B$8,Precos!$B$3:$I$3,0))</f>
        <v/>
      </c>
      <c r="C752" s="10">
        <f>IF(AND(Premissas!$B$10&gt;1,A752&lt;Premissas!$B$9),B752*Premissas!$B$10,B752)</f>
        <v/>
      </c>
      <c r="D752" s="12" t="n"/>
      <c r="E752" s="10">
        <f>Precos!J752</f>
        <v/>
      </c>
      <c r="F752" s="12" t="n"/>
    </row>
    <row r="753">
      <c r="A753" s="9">
        <f>Precos!A753</f>
        <v/>
      </c>
      <c r="B753" s="10">
        <f>INDEX(Precos!$B753:$I753,MATCH(Premissas!$B$8,Precos!$B$3:$I$3,0))</f>
        <v/>
      </c>
      <c r="C753" s="10">
        <f>IF(AND(Premissas!$B$10&gt;1,A753&lt;Premissas!$B$9),B753*Premissas!$B$10,B753)</f>
        <v/>
      </c>
      <c r="D753" s="12" t="n"/>
      <c r="E753" s="10">
        <f>Precos!J753</f>
        <v/>
      </c>
      <c r="F753" s="12" t="n"/>
    </row>
    <row r="754">
      <c r="A754" s="9">
        <f>Precos!A754</f>
        <v/>
      </c>
      <c r="B754" s="10">
        <f>INDEX(Precos!$B754:$I754,MATCH(Premissas!$B$8,Precos!$B$3:$I$3,0))</f>
        <v/>
      </c>
      <c r="C754" s="10">
        <f>IF(AND(Premissas!$B$10&gt;1,A754&lt;Premissas!$B$9),B754*Premissas!$B$10,B754)</f>
        <v/>
      </c>
      <c r="D754" s="12" t="n"/>
      <c r="E754" s="10">
        <f>Precos!J754</f>
        <v/>
      </c>
      <c r="F754" s="12" t="n"/>
    </row>
    <row r="755">
      <c r="A755" s="9">
        <f>Precos!A755</f>
        <v/>
      </c>
      <c r="B755" s="10">
        <f>INDEX(Precos!$B755:$I755,MATCH(Premissas!$B$8,Precos!$B$3:$I$3,0))</f>
        <v/>
      </c>
      <c r="C755" s="10">
        <f>IF(AND(Premissas!$B$10&gt;1,A755&lt;Premissas!$B$9),B755*Premissas!$B$10,B755)</f>
        <v/>
      </c>
      <c r="D755" s="12" t="n"/>
      <c r="E755" s="10">
        <f>Precos!J755</f>
        <v/>
      </c>
      <c r="F755" s="12" t="n"/>
    </row>
    <row r="756">
      <c r="A756" s="9">
        <f>Precos!A756</f>
        <v/>
      </c>
      <c r="B756" s="10">
        <f>INDEX(Precos!$B756:$I756,MATCH(Premissas!$B$8,Precos!$B$3:$I$3,0))</f>
        <v/>
      </c>
      <c r="C756" s="10">
        <f>IF(AND(Premissas!$B$10&gt;1,A756&lt;Premissas!$B$9),B756*Premissas!$B$10,B756)</f>
        <v/>
      </c>
      <c r="D756" s="12" t="n"/>
      <c r="E756" s="10">
        <f>Precos!J756</f>
        <v/>
      </c>
      <c r="F756" s="12" t="n"/>
    </row>
    <row r="757">
      <c r="A757" s="9">
        <f>Precos!A757</f>
        <v/>
      </c>
      <c r="B757" s="10">
        <f>INDEX(Precos!$B757:$I757,MATCH(Premissas!$B$8,Precos!$B$3:$I$3,0))</f>
        <v/>
      </c>
      <c r="C757" s="10">
        <f>IF(AND(Premissas!$B$10&gt;1,A757&lt;Premissas!$B$9),B757*Premissas!$B$10,B757)</f>
        <v/>
      </c>
      <c r="D757" s="12" t="n"/>
      <c r="E757" s="10">
        <f>Precos!J757</f>
        <v/>
      </c>
      <c r="F757" s="12" t="n"/>
    </row>
    <row r="758">
      <c r="A758" s="9">
        <f>Precos!A758</f>
        <v/>
      </c>
      <c r="B758" s="10">
        <f>INDEX(Precos!$B758:$I758,MATCH(Premissas!$B$8,Precos!$B$3:$I$3,0))</f>
        <v/>
      </c>
      <c r="C758" s="10">
        <f>IF(AND(Premissas!$B$10&gt;1,A758&lt;Premissas!$B$9),B758*Premissas!$B$10,B758)</f>
        <v/>
      </c>
      <c r="D758" s="12" t="n"/>
      <c r="E758" s="10">
        <f>Precos!J758</f>
        <v/>
      </c>
      <c r="F758" s="12" t="n"/>
    </row>
    <row r="759">
      <c r="A759" s="9">
        <f>Precos!A759</f>
        <v/>
      </c>
      <c r="B759" s="10">
        <f>INDEX(Precos!$B759:$I759,MATCH(Premissas!$B$8,Precos!$B$3:$I$3,0))</f>
        <v/>
      </c>
      <c r="C759" s="10">
        <f>IF(AND(Premissas!$B$10&gt;1,A759&lt;Premissas!$B$9),B759*Premissas!$B$10,B759)</f>
        <v/>
      </c>
      <c r="D759" s="12" t="n"/>
      <c r="E759" s="10">
        <f>Precos!J759</f>
        <v/>
      </c>
      <c r="F759" s="12" t="n"/>
    </row>
    <row r="760">
      <c r="A760" s="9">
        <f>Precos!A760</f>
        <v/>
      </c>
      <c r="B760" s="10">
        <f>INDEX(Precos!$B760:$I760,MATCH(Premissas!$B$8,Precos!$B$3:$I$3,0))</f>
        <v/>
      </c>
      <c r="C760" s="10">
        <f>IF(AND(Premissas!$B$10&gt;1,A760&lt;Premissas!$B$9),B760*Premissas!$B$10,B760)</f>
        <v/>
      </c>
      <c r="D760" s="12" t="n"/>
      <c r="E760" s="10">
        <f>Precos!J760</f>
        <v/>
      </c>
      <c r="F760" s="12" t="n"/>
    </row>
    <row r="761">
      <c r="A761" s="9">
        <f>Precos!A761</f>
        <v/>
      </c>
      <c r="B761" s="10">
        <f>INDEX(Precos!$B761:$I761,MATCH(Premissas!$B$8,Precos!$B$3:$I$3,0))</f>
        <v/>
      </c>
      <c r="C761" s="10">
        <f>IF(AND(Premissas!$B$10&gt;1,A761&lt;Premissas!$B$9),B761*Premissas!$B$10,B761)</f>
        <v/>
      </c>
      <c r="D761" s="12" t="n"/>
      <c r="E761" s="10">
        <f>Precos!J761</f>
        <v/>
      </c>
      <c r="F761" s="12" t="n"/>
    </row>
    <row r="762">
      <c r="A762" s="9">
        <f>Precos!A762</f>
        <v/>
      </c>
      <c r="B762" s="10">
        <f>INDEX(Precos!$B762:$I762,MATCH(Premissas!$B$8,Precos!$B$3:$I$3,0))</f>
        <v/>
      </c>
      <c r="C762" s="10">
        <f>IF(AND(Premissas!$B$10&gt;1,A762&lt;Premissas!$B$9),B762*Premissas!$B$10,B762)</f>
        <v/>
      </c>
      <c r="D762" s="12" t="n"/>
      <c r="E762" s="10">
        <f>Precos!J762</f>
        <v/>
      </c>
      <c r="F762" s="12" t="n"/>
    </row>
    <row r="763">
      <c r="A763" s="9">
        <f>Precos!A763</f>
        <v/>
      </c>
      <c r="B763" s="10">
        <f>INDEX(Precos!$B763:$I763,MATCH(Premissas!$B$8,Precos!$B$3:$I$3,0))</f>
        <v/>
      </c>
      <c r="C763" s="10">
        <f>IF(AND(Premissas!$B$10&gt;1,A763&lt;Premissas!$B$9),B763*Premissas!$B$10,B763)</f>
        <v/>
      </c>
      <c r="D763" s="12" t="n"/>
      <c r="E763" s="10">
        <f>Precos!J763</f>
        <v/>
      </c>
      <c r="F763" s="12" t="n"/>
    </row>
    <row r="764">
      <c r="A764" s="9">
        <f>Precos!A764</f>
        <v/>
      </c>
      <c r="B764" s="10">
        <f>INDEX(Precos!$B764:$I764,MATCH(Premissas!$B$8,Precos!$B$3:$I$3,0))</f>
        <v/>
      </c>
      <c r="C764" s="10">
        <f>IF(AND(Premissas!$B$10&gt;1,A764&lt;Premissas!$B$9),B764*Premissas!$B$10,B764)</f>
        <v/>
      </c>
      <c r="D764" s="12" t="n"/>
      <c r="E764" s="10">
        <f>Precos!J764</f>
        <v/>
      </c>
      <c r="F764" s="12" t="n"/>
    </row>
    <row r="765">
      <c r="A765" s="9">
        <f>Precos!A765</f>
        <v/>
      </c>
      <c r="B765" s="10">
        <f>INDEX(Precos!$B765:$I765,MATCH(Premissas!$B$8,Precos!$B$3:$I$3,0))</f>
        <v/>
      </c>
      <c r="C765" s="10">
        <f>IF(AND(Premissas!$B$10&gt;1,A765&lt;Premissas!$B$9),B765*Premissas!$B$10,B765)</f>
        <v/>
      </c>
      <c r="D765" s="12" t="n"/>
      <c r="E765" s="10">
        <f>Precos!J765</f>
        <v/>
      </c>
      <c r="F765" s="12" t="n"/>
    </row>
    <row r="766">
      <c r="A766" s="9">
        <f>Precos!A766</f>
        <v/>
      </c>
      <c r="B766" s="10">
        <f>INDEX(Precos!$B766:$I766,MATCH(Premissas!$B$8,Precos!$B$3:$I$3,0))</f>
        <v/>
      </c>
      <c r="C766" s="10">
        <f>IF(AND(Premissas!$B$10&gt;1,A766&lt;Premissas!$B$9),B766*Premissas!$B$10,B766)</f>
        <v/>
      </c>
      <c r="D766" s="12" t="n"/>
      <c r="E766" s="10">
        <f>Precos!J766</f>
        <v/>
      </c>
      <c r="F766" s="12" t="n"/>
    </row>
    <row r="767">
      <c r="A767" s="9">
        <f>Precos!A767</f>
        <v/>
      </c>
      <c r="B767" s="10">
        <f>INDEX(Precos!$B767:$I767,MATCH(Premissas!$B$8,Precos!$B$3:$I$3,0))</f>
        <v/>
      </c>
      <c r="C767" s="10">
        <f>IF(AND(Premissas!$B$10&gt;1,A767&lt;Premissas!$B$9),B767*Premissas!$B$10,B767)</f>
        <v/>
      </c>
      <c r="D767" s="12" t="n"/>
      <c r="E767" s="10">
        <f>Precos!J767</f>
        <v/>
      </c>
      <c r="F767" s="12" t="n"/>
    </row>
    <row r="768">
      <c r="A768" s="9">
        <f>Precos!A768</f>
        <v/>
      </c>
      <c r="B768" s="10">
        <f>INDEX(Precos!$B768:$I768,MATCH(Premissas!$B$8,Precos!$B$3:$I$3,0))</f>
        <v/>
      </c>
      <c r="C768" s="10">
        <f>IF(AND(Premissas!$B$10&gt;1,A768&lt;Premissas!$B$9),B768*Premissas!$B$10,B768)</f>
        <v/>
      </c>
      <c r="D768" s="12" t="n"/>
      <c r="E768" s="10">
        <f>Precos!J768</f>
        <v/>
      </c>
      <c r="F768" s="12" t="n"/>
    </row>
    <row r="769">
      <c r="A769" s="9">
        <f>Precos!A769</f>
        <v/>
      </c>
      <c r="B769" s="10">
        <f>INDEX(Precos!$B769:$I769,MATCH(Premissas!$B$8,Precos!$B$3:$I$3,0))</f>
        <v/>
      </c>
      <c r="C769" s="10">
        <f>IF(AND(Premissas!$B$10&gt;1,A769&lt;Premissas!$B$9),B769*Premissas!$B$10,B769)</f>
        <v/>
      </c>
      <c r="D769" s="12" t="n"/>
      <c r="E769" s="10">
        <f>Precos!J769</f>
        <v/>
      </c>
      <c r="F769" s="12" t="n"/>
    </row>
    <row r="770">
      <c r="A770" s="9">
        <f>Precos!A770</f>
        <v/>
      </c>
      <c r="B770" s="10">
        <f>INDEX(Precos!$B770:$I770,MATCH(Premissas!$B$8,Precos!$B$3:$I$3,0))</f>
        <v/>
      </c>
      <c r="C770" s="10">
        <f>IF(AND(Premissas!$B$10&gt;1,A770&lt;Premissas!$B$9),B770*Premissas!$B$10,B770)</f>
        <v/>
      </c>
      <c r="D770" s="12" t="n"/>
      <c r="E770" s="10">
        <f>Precos!J770</f>
        <v/>
      </c>
      <c r="F770" s="12" t="n"/>
    </row>
    <row r="771">
      <c r="A771" s="9">
        <f>Precos!A771</f>
        <v/>
      </c>
      <c r="B771" s="10">
        <f>INDEX(Precos!$B771:$I771,MATCH(Premissas!$B$8,Precos!$B$3:$I$3,0))</f>
        <v/>
      </c>
      <c r="C771" s="10">
        <f>IF(AND(Premissas!$B$10&gt;1,A771&lt;Premissas!$B$9),B771*Premissas!$B$10,B771)</f>
        <v/>
      </c>
      <c r="D771" s="12" t="n"/>
      <c r="E771" s="10">
        <f>Precos!J771</f>
        <v/>
      </c>
      <c r="F771" s="12" t="n"/>
    </row>
    <row r="772">
      <c r="A772" s="9">
        <f>Precos!A772</f>
        <v/>
      </c>
      <c r="B772" s="10">
        <f>INDEX(Precos!$B772:$I772,MATCH(Premissas!$B$8,Precos!$B$3:$I$3,0))</f>
        <v/>
      </c>
      <c r="C772" s="10">
        <f>IF(AND(Premissas!$B$10&gt;1,A772&lt;Premissas!$B$9),B772*Premissas!$B$10,B772)</f>
        <v/>
      </c>
      <c r="D772" s="12" t="n"/>
      <c r="E772" s="10">
        <f>Precos!J772</f>
        <v/>
      </c>
      <c r="F772" s="12" t="n"/>
    </row>
    <row r="773">
      <c r="A773" s="9">
        <f>Precos!A773</f>
        <v/>
      </c>
      <c r="B773" s="10">
        <f>INDEX(Precos!$B773:$I773,MATCH(Premissas!$B$8,Precos!$B$3:$I$3,0))</f>
        <v/>
      </c>
      <c r="C773" s="10">
        <f>IF(AND(Premissas!$B$10&gt;1,A773&lt;Premissas!$B$9),B773*Premissas!$B$10,B773)</f>
        <v/>
      </c>
      <c r="D773" s="12" t="n"/>
      <c r="E773" s="10">
        <f>Precos!J773</f>
        <v/>
      </c>
      <c r="F773" s="12" t="n"/>
    </row>
    <row r="774">
      <c r="A774" s="9">
        <f>Precos!A774</f>
        <v/>
      </c>
      <c r="B774" s="10">
        <f>INDEX(Precos!$B774:$I774,MATCH(Premissas!$B$8,Precos!$B$3:$I$3,0))</f>
        <v/>
      </c>
      <c r="C774" s="10">
        <f>IF(AND(Premissas!$B$10&gt;1,A774&lt;Premissas!$B$9),B774*Premissas!$B$10,B774)</f>
        <v/>
      </c>
      <c r="D774" s="12" t="n"/>
      <c r="E774" s="10">
        <f>Precos!J774</f>
        <v/>
      </c>
      <c r="F774" s="12" t="n"/>
    </row>
    <row r="775">
      <c r="A775" s="9">
        <f>Precos!A775</f>
        <v/>
      </c>
      <c r="B775" s="10">
        <f>INDEX(Precos!$B775:$I775,MATCH(Premissas!$B$8,Precos!$B$3:$I$3,0))</f>
        <v/>
      </c>
      <c r="C775" s="10">
        <f>IF(AND(Premissas!$B$10&gt;1,A775&lt;Premissas!$B$9),B775*Premissas!$B$10,B775)</f>
        <v/>
      </c>
      <c r="D775" s="12" t="n"/>
      <c r="E775" s="10">
        <f>Precos!J775</f>
        <v/>
      </c>
      <c r="F775" s="12" t="n"/>
    </row>
    <row r="776">
      <c r="A776" s="9">
        <f>Precos!A776</f>
        <v/>
      </c>
      <c r="B776" s="10">
        <f>INDEX(Precos!$B776:$I776,MATCH(Premissas!$B$8,Precos!$B$3:$I$3,0))</f>
        <v/>
      </c>
      <c r="C776" s="10">
        <f>IF(AND(Premissas!$B$10&gt;1,A776&lt;Premissas!$B$9),B776*Premissas!$B$10,B776)</f>
        <v/>
      </c>
      <c r="D776" s="12" t="n"/>
      <c r="E776" s="10">
        <f>Precos!J776</f>
        <v/>
      </c>
      <c r="F776" s="12" t="n"/>
    </row>
    <row r="777">
      <c r="A777" s="9">
        <f>Precos!A777</f>
        <v/>
      </c>
      <c r="B777" s="10">
        <f>INDEX(Precos!$B777:$I777,MATCH(Premissas!$B$8,Precos!$B$3:$I$3,0))</f>
        <v/>
      </c>
      <c r="C777" s="10">
        <f>IF(AND(Premissas!$B$10&gt;1,A777&lt;Premissas!$B$9),B777*Premissas!$B$10,B777)</f>
        <v/>
      </c>
      <c r="D777" s="12" t="n"/>
      <c r="E777" s="10">
        <f>Precos!J777</f>
        <v/>
      </c>
      <c r="F777" s="12" t="n"/>
    </row>
    <row r="778">
      <c r="A778" s="9">
        <f>Precos!A778</f>
        <v/>
      </c>
      <c r="B778" s="10">
        <f>INDEX(Precos!$B778:$I778,MATCH(Premissas!$B$8,Precos!$B$3:$I$3,0))</f>
        <v/>
      </c>
      <c r="C778" s="10">
        <f>IF(AND(Premissas!$B$10&gt;1,A778&lt;Premissas!$B$9),B778*Premissas!$B$10,B778)</f>
        <v/>
      </c>
      <c r="D778" s="12" t="n"/>
      <c r="E778" s="10">
        <f>Precos!J778</f>
        <v/>
      </c>
      <c r="F778" s="12" t="n"/>
    </row>
    <row r="779">
      <c r="A779" s="9">
        <f>Precos!A779</f>
        <v/>
      </c>
      <c r="B779" s="10">
        <f>INDEX(Precos!$B779:$I779,MATCH(Premissas!$B$8,Precos!$B$3:$I$3,0))</f>
        <v/>
      </c>
      <c r="C779" s="10">
        <f>IF(AND(Premissas!$B$10&gt;1,A779&lt;Premissas!$B$9),B779*Premissas!$B$10,B779)</f>
        <v/>
      </c>
      <c r="D779" s="12" t="n"/>
      <c r="E779" s="10">
        <f>Precos!J779</f>
        <v/>
      </c>
      <c r="F779" s="12" t="n"/>
    </row>
    <row r="780">
      <c r="A780" s="9">
        <f>Precos!A780</f>
        <v/>
      </c>
      <c r="B780" s="10">
        <f>INDEX(Precos!$B780:$I780,MATCH(Premissas!$B$8,Precos!$B$3:$I$3,0))</f>
        <v/>
      </c>
      <c r="C780" s="10">
        <f>IF(AND(Premissas!$B$10&gt;1,A780&lt;Premissas!$B$9),B780*Premissas!$B$10,B780)</f>
        <v/>
      </c>
      <c r="D780" s="12" t="n"/>
      <c r="E780" s="10">
        <f>Precos!J780</f>
        <v/>
      </c>
      <c r="F780" s="12" t="n"/>
    </row>
    <row r="781">
      <c r="A781" s="9">
        <f>Precos!A781</f>
        <v/>
      </c>
      <c r="B781" s="10">
        <f>INDEX(Precos!$B781:$I781,MATCH(Premissas!$B$8,Precos!$B$3:$I$3,0))</f>
        <v/>
      </c>
      <c r="C781" s="10">
        <f>IF(AND(Premissas!$B$10&gt;1,A781&lt;Premissas!$B$9),B781*Premissas!$B$10,B781)</f>
        <v/>
      </c>
      <c r="D781" s="12" t="n"/>
      <c r="E781" s="10">
        <f>Precos!J781</f>
        <v/>
      </c>
      <c r="F781" s="12" t="n"/>
    </row>
    <row r="782">
      <c r="A782" s="9">
        <f>Precos!A782</f>
        <v/>
      </c>
      <c r="B782" s="10">
        <f>INDEX(Precos!$B782:$I782,MATCH(Premissas!$B$8,Precos!$B$3:$I$3,0))</f>
        <v/>
      </c>
      <c r="C782" s="10">
        <f>IF(AND(Premissas!$B$10&gt;1,A782&lt;Premissas!$B$9),B782*Premissas!$B$10,B782)</f>
        <v/>
      </c>
      <c r="D782" s="12" t="n"/>
      <c r="E782" s="10">
        <f>Precos!J782</f>
        <v/>
      </c>
      <c r="F782" s="12" t="n"/>
    </row>
    <row r="783">
      <c r="A783" s="9">
        <f>Precos!A783</f>
        <v/>
      </c>
      <c r="B783" s="10">
        <f>INDEX(Precos!$B783:$I783,MATCH(Premissas!$B$8,Precos!$B$3:$I$3,0))</f>
        <v/>
      </c>
      <c r="C783" s="10">
        <f>IF(AND(Premissas!$B$10&gt;1,A783&lt;Premissas!$B$9),B783*Premissas!$B$10,B783)</f>
        <v/>
      </c>
      <c r="D783" s="12" t="n"/>
      <c r="E783" s="10">
        <f>Precos!J783</f>
        <v/>
      </c>
      <c r="F783" s="12" t="n"/>
    </row>
    <row r="784">
      <c r="A784" s="9">
        <f>Precos!A784</f>
        <v/>
      </c>
      <c r="B784" s="10">
        <f>INDEX(Precos!$B784:$I784,MATCH(Premissas!$B$8,Precos!$B$3:$I$3,0))</f>
        <v/>
      </c>
      <c r="C784" s="10">
        <f>IF(AND(Premissas!$B$10&gt;1,A784&lt;Premissas!$B$9),B784*Premissas!$B$10,B784)</f>
        <v/>
      </c>
      <c r="D784" s="12" t="n"/>
      <c r="E784" s="10">
        <f>Precos!J784</f>
        <v/>
      </c>
      <c r="F784" s="12" t="n"/>
    </row>
    <row r="785">
      <c r="A785" s="9">
        <f>Precos!A785</f>
        <v/>
      </c>
      <c r="B785" s="10">
        <f>INDEX(Precos!$B785:$I785,MATCH(Premissas!$B$8,Precos!$B$3:$I$3,0))</f>
        <v/>
      </c>
      <c r="C785" s="10">
        <f>IF(AND(Premissas!$B$10&gt;1,A785&lt;Premissas!$B$9),B785*Premissas!$B$10,B785)</f>
        <v/>
      </c>
      <c r="D785" s="12" t="n"/>
      <c r="E785" s="10">
        <f>Precos!J785</f>
        <v/>
      </c>
      <c r="F785" s="12" t="n"/>
    </row>
    <row r="786">
      <c r="A786" s="9">
        <f>Precos!A786</f>
        <v/>
      </c>
      <c r="B786" s="10">
        <f>INDEX(Precos!$B786:$I786,MATCH(Premissas!$B$8,Precos!$B$3:$I$3,0))</f>
        <v/>
      </c>
      <c r="C786" s="10">
        <f>IF(AND(Premissas!$B$10&gt;1,A786&lt;Premissas!$B$9),B786*Premissas!$B$10,B786)</f>
        <v/>
      </c>
      <c r="D786" s="12" t="n"/>
      <c r="E786" s="10">
        <f>Precos!J786</f>
        <v/>
      </c>
      <c r="F786" s="12" t="n"/>
    </row>
    <row r="787">
      <c r="A787" s="9">
        <f>Precos!A787</f>
        <v/>
      </c>
      <c r="B787" s="10">
        <f>INDEX(Precos!$B787:$I787,MATCH(Premissas!$B$8,Precos!$B$3:$I$3,0))</f>
        <v/>
      </c>
      <c r="C787" s="10">
        <f>IF(AND(Premissas!$B$10&gt;1,A787&lt;Premissas!$B$9),B787*Premissas!$B$10,B787)</f>
        <v/>
      </c>
      <c r="D787" s="12" t="n"/>
      <c r="E787" s="10">
        <f>Precos!J787</f>
        <v/>
      </c>
      <c r="F787" s="12" t="n"/>
    </row>
    <row r="788">
      <c r="A788" s="9">
        <f>Precos!A788</f>
        <v/>
      </c>
      <c r="B788" s="10">
        <f>INDEX(Precos!$B788:$I788,MATCH(Premissas!$B$8,Precos!$B$3:$I$3,0))</f>
        <v/>
      </c>
      <c r="C788" s="10">
        <f>IF(AND(Premissas!$B$10&gt;1,A788&lt;Premissas!$B$9),B788*Premissas!$B$10,B788)</f>
        <v/>
      </c>
      <c r="D788" s="12" t="n"/>
      <c r="E788" s="10">
        <f>Precos!J788</f>
        <v/>
      </c>
      <c r="F788" s="12" t="n"/>
    </row>
    <row r="789">
      <c r="A789" s="9">
        <f>Precos!A789</f>
        <v/>
      </c>
      <c r="B789" s="10">
        <f>INDEX(Precos!$B789:$I789,MATCH(Premissas!$B$8,Precos!$B$3:$I$3,0))</f>
        <v/>
      </c>
      <c r="C789" s="10">
        <f>IF(AND(Premissas!$B$10&gt;1,A789&lt;Premissas!$B$9),B789*Premissas!$B$10,B789)</f>
        <v/>
      </c>
      <c r="D789" s="12" t="n"/>
      <c r="E789" s="10">
        <f>Precos!J789</f>
        <v/>
      </c>
      <c r="F789" s="12" t="n"/>
    </row>
    <row r="790">
      <c r="A790" s="9">
        <f>Precos!A790</f>
        <v/>
      </c>
      <c r="B790" s="10">
        <f>INDEX(Precos!$B790:$I790,MATCH(Premissas!$B$8,Precos!$B$3:$I$3,0))</f>
        <v/>
      </c>
      <c r="C790" s="10">
        <f>IF(AND(Premissas!$B$10&gt;1,A790&lt;Premissas!$B$9),B790*Premissas!$B$10,B790)</f>
        <v/>
      </c>
      <c r="D790" s="12" t="n"/>
      <c r="E790" s="10">
        <f>Precos!J790</f>
        <v/>
      </c>
      <c r="F790" s="12" t="n"/>
    </row>
    <row r="791">
      <c r="A791" s="9">
        <f>Precos!A791</f>
        <v/>
      </c>
      <c r="B791" s="10">
        <f>INDEX(Precos!$B791:$I791,MATCH(Premissas!$B$8,Precos!$B$3:$I$3,0))</f>
        <v/>
      </c>
      <c r="C791" s="10">
        <f>IF(AND(Premissas!$B$10&gt;1,A791&lt;Premissas!$B$9),B791*Premissas!$B$10,B791)</f>
        <v/>
      </c>
      <c r="D791" s="12" t="n"/>
      <c r="E791" s="10">
        <f>Precos!J791</f>
        <v/>
      </c>
      <c r="F791" s="12" t="n"/>
    </row>
    <row r="792">
      <c r="A792" s="9">
        <f>Precos!A792</f>
        <v/>
      </c>
      <c r="B792" s="10">
        <f>INDEX(Precos!$B792:$I792,MATCH(Premissas!$B$8,Precos!$B$3:$I$3,0))</f>
        <v/>
      </c>
      <c r="C792" s="10">
        <f>IF(AND(Premissas!$B$10&gt;1,A792&lt;Premissas!$B$9),B792*Premissas!$B$10,B792)</f>
        <v/>
      </c>
      <c r="D792" s="12" t="n"/>
      <c r="E792" s="10">
        <f>Precos!J792</f>
        <v/>
      </c>
      <c r="F792" s="12" t="n"/>
    </row>
    <row r="793">
      <c r="A793" s="9">
        <f>Precos!A793</f>
        <v/>
      </c>
      <c r="B793" s="10">
        <f>INDEX(Precos!$B793:$I793,MATCH(Premissas!$B$8,Precos!$B$3:$I$3,0))</f>
        <v/>
      </c>
      <c r="C793" s="10">
        <f>IF(AND(Premissas!$B$10&gt;1,A793&lt;Premissas!$B$9),B793*Premissas!$B$10,B793)</f>
        <v/>
      </c>
      <c r="D793" s="12" t="n"/>
      <c r="E793" s="10">
        <f>Precos!J793</f>
        <v/>
      </c>
      <c r="F793" s="12" t="n"/>
    </row>
    <row r="794">
      <c r="A794" s="9">
        <f>Precos!A794</f>
        <v/>
      </c>
      <c r="B794" s="10">
        <f>INDEX(Precos!$B794:$I794,MATCH(Premissas!$B$8,Precos!$B$3:$I$3,0))</f>
        <v/>
      </c>
      <c r="C794" s="10">
        <f>IF(AND(Premissas!$B$10&gt;1,A794&lt;Premissas!$B$9),B794*Premissas!$B$10,B794)</f>
        <v/>
      </c>
      <c r="D794" s="12" t="n"/>
      <c r="E794" s="10">
        <f>Precos!J794</f>
        <v/>
      </c>
      <c r="F794" s="12" t="n"/>
    </row>
    <row r="795">
      <c r="A795" s="9">
        <f>Precos!A795</f>
        <v/>
      </c>
      <c r="B795" s="10">
        <f>INDEX(Precos!$B795:$I795,MATCH(Premissas!$B$8,Precos!$B$3:$I$3,0))</f>
        <v/>
      </c>
      <c r="C795" s="10">
        <f>IF(AND(Premissas!$B$10&gt;1,A795&lt;Premissas!$B$9),B795*Premissas!$B$10,B795)</f>
        <v/>
      </c>
      <c r="D795" s="12" t="n"/>
      <c r="E795" s="10">
        <f>Precos!J795</f>
        <v/>
      </c>
      <c r="F795" s="12" t="n"/>
    </row>
    <row r="796">
      <c r="A796" s="9">
        <f>Precos!A796</f>
        <v/>
      </c>
      <c r="B796" s="10">
        <f>INDEX(Precos!$B796:$I796,MATCH(Premissas!$B$8,Precos!$B$3:$I$3,0))</f>
        <v/>
      </c>
      <c r="C796" s="10">
        <f>IF(AND(Premissas!$B$10&gt;1,A796&lt;Premissas!$B$9),B796*Premissas!$B$10,B796)</f>
        <v/>
      </c>
      <c r="D796" s="12" t="n"/>
      <c r="E796" s="10">
        <f>Precos!J796</f>
        <v/>
      </c>
      <c r="F796" s="12" t="n"/>
    </row>
    <row r="797">
      <c r="A797" s="9">
        <f>Precos!A797</f>
        <v/>
      </c>
      <c r="B797" s="10">
        <f>INDEX(Precos!$B797:$I797,MATCH(Premissas!$B$8,Precos!$B$3:$I$3,0))</f>
        <v/>
      </c>
      <c r="C797" s="10">
        <f>IF(AND(Premissas!$B$10&gt;1,A797&lt;Premissas!$B$9),B797*Premissas!$B$10,B797)</f>
        <v/>
      </c>
      <c r="D797" s="12" t="n"/>
      <c r="E797" s="10">
        <f>Precos!J797</f>
        <v/>
      </c>
      <c r="F797" s="12" t="n"/>
    </row>
    <row r="798">
      <c r="A798" s="9">
        <f>Precos!A798</f>
        <v/>
      </c>
      <c r="B798" s="10">
        <f>INDEX(Precos!$B798:$I798,MATCH(Premissas!$B$8,Precos!$B$3:$I$3,0))</f>
        <v/>
      </c>
      <c r="C798" s="10">
        <f>IF(AND(Premissas!$B$10&gt;1,A798&lt;Premissas!$B$9),B798*Premissas!$B$10,B798)</f>
        <v/>
      </c>
      <c r="D798" s="12" t="n"/>
      <c r="E798" s="10">
        <f>Precos!J798</f>
        <v/>
      </c>
      <c r="F798" s="12" t="n"/>
    </row>
    <row r="799">
      <c r="A799" s="9">
        <f>Precos!A799</f>
        <v/>
      </c>
      <c r="B799" s="10">
        <f>INDEX(Precos!$B799:$I799,MATCH(Premissas!$B$8,Precos!$B$3:$I$3,0))</f>
        <v/>
      </c>
      <c r="C799" s="10">
        <f>IF(AND(Premissas!$B$10&gt;1,A799&lt;Premissas!$B$9),B799*Premissas!$B$10,B799)</f>
        <v/>
      </c>
      <c r="D799" s="12" t="n"/>
      <c r="E799" s="10">
        <f>Precos!J799</f>
        <v/>
      </c>
      <c r="F799" s="12" t="n"/>
    </row>
    <row r="800">
      <c r="A800" s="9">
        <f>Precos!A800</f>
        <v/>
      </c>
      <c r="B800" s="10">
        <f>INDEX(Precos!$B800:$I800,MATCH(Premissas!$B$8,Precos!$B$3:$I$3,0))</f>
        <v/>
      </c>
      <c r="C800" s="10">
        <f>IF(AND(Premissas!$B$10&gt;1,A800&lt;Premissas!$B$9),B800*Premissas!$B$10,B800)</f>
        <v/>
      </c>
      <c r="D800" s="12" t="n"/>
      <c r="E800" s="10">
        <f>Precos!J800</f>
        <v/>
      </c>
      <c r="F800" s="12" t="n"/>
    </row>
    <row r="801">
      <c r="A801" s="9">
        <f>Precos!A801</f>
        <v/>
      </c>
      <c r="B801" s="10">
        <f>INDEX(Precos!$B801:$I801,MATCH(Premissas!$B$8,Precos!$B$3:$I$3,0))</f>
        <v/>
      </c>
      <c r="C801" s="10">
        <f>IF(AND(Premissas!$B$10&gt;1,A801&lt;Premissas!$B$9),B801*Premissas!$B$10,B801)</f>
        <v/>
      </c>
      <c r="D801" s="12" t="n"/>
      <c r="E801" s="10">
        <f>Precos!J801</f>
        <v/>
      </c>
      <c r="F801" s="12" t="n"/>
    </row>
    <row r="802">
      <c r="A802" s="9">
        <f>Precos!A802</f>
        <v/>
      </c>
      <c r="B802" s="10">
        <f>INDEX(Precos!$B802:$I802,MATCH(Premissas!$B$8,Precos!$B$3:$I$3,0))</f>
        <v/>
      </c>
      <c r="C802" s="10">
        <f>IF(AND(Premissas!$B$10&gt;1,A802&lt;Premissas!$B$9),B802*Premissas!$B$10,B802)</f>
        <v/>
      </c>
      <c r="D802" s="12" t="n"/>
      <c r="E802" s="10">
        <f>Precos!J802</f>
        <v/>
      </c>
      <c r="F802" s="12" t="n"/>
    </row>
    <row r="803">
      <c r="A803" s="9">
        <f>Precos!A803</f>
        <v/>
      </c>
      <c r="B803" s="10">
        <f>INDEX(Precos!$B803:$I803,MATCH(Premissas!$B$8,Precos!$B$3:$I$3,0))</f>
        <v/>
      </c>
      <c r="C803" s="10">
        <f>IF(AND(Premissas!$B$10&gt;1,A803&lt;Premissas!$B$9),B803*Premissas!$B$10,B803)</f>
        <v/>
      </c>
      <c r="D803" s="12" t="n"/>
      <c r="E803" s="10">
        <f>Precos!J803</f>
        <v/>
      </c>
      <c r="F803" s="12" t="n"/>
    </row>
    <row r="804">
      <c r="A804" s="9">
        <f>Precos!A804</f>
        <v/>
      </c>
      <c r="B804" s="10">
        <f>INDEX(Precos!$B804:$I804,MATCH(Premissas!$B$8,Precos!$B$3:$I$3,0))</f>
        <v/>
      </c>
      <c r="C804" s="10">
        <f>IF(AND(Premissas!$B$10&gt;1,A804&lt;Premissas!$B$9),B804*Premissas!$B$10,B804)</f>
        <v/>
      </c>
      <c r="D804" s="12" t="n"/>
      <c r="E804" s="10">
        <f>Precos!J804</f>
        <v/>
      </c>
      <c r="F804" s="12" t="n"/>
    </row>
    <row r="805">
      <c r="A805" s="9">
        <f>Precos!A805</f>
        <v/>
      </c>
      <c r="B805" s="10">
        <f>INDEX(Precos!$B805:$I805,MATCH(Premissas!$B$8,Precos!$B$3:$I$3,0))</f>
        <v/>
      </c>
      <c r="C805" s="10">
        <f>IF(AND(Premissas!$B$10&gt;1,A805&lt;Premissas!$B$9),B805*Premissas!$B$10,B805)</f>
        <v/>
      </c>
      <c r="D805" s="12" t="n"/>
      <c r="E805" s="10">
        <f>Precos!J805</f>
        <v/>
      </c>
      <c r="F805" s="12" t="n"/>
    </row>
    <row r="806">
      <c r="A806" s="9">
        <f>Precos!A806</f>
        <v/>
      </c>
      <c r="B806" s="10">
        <f>INDEX(Precos!$B806:$I806,MATCH(Premissas!$B$8,Precos!$B$3:$I$3,0))</f>
        <v/>
      </c>
      <c r="C806" s="10">
        <f>IF(AND(Premissas!$B$10&gt;1,A806&lt;Premissas!$B$9),B806*Premissas!$B$10,B806)</f>
        <v/>
      </c>
      <c r="D806" s="12" t="n"/>
      <c r="E806" s="10">
        <f>Precos!J806</f>
        <v/>
      </c>
      <c r="F806" s="12" t="n"/>
    </row>
    <row r="807">
      <c r="A807" s="9">
        <f>Precos!A807</f>
        <v/>
      </c>
      <c r="B807" s="10">
        <f>INDEX(Precos!$B807:$I807,MATCH(Premissas!$B$8,Precos!$B$3:$I$3,0))</f>
        <v/>
      </c>
      <c r="C807" s="10">
        <f>IF(AND(Premissas!$B$10&gt;1,A807&lt;Premissas!$B$9),B807*Premissas!$B$10,B807)</f>
        <v/>
      </c>
      <c r="D807" s="12" t="n"/>
      <c r="E807" s="10">
        <f>Precos!J807</f>
        <v/>
      </c>
      <c r="F807" s="12" t="n"/>
    </row>
    <row r="808">
      <c r="A808" s="9">
        <f>Precos!A808</f>
        <v/>
      </c>
      <c r="B808" s="10">
        <f>INDEX(Precos!$B808:$I808,MATCH(Premissas!$B$8,Precos!$B$3:$I$3,0))</f>
        <v/>
      </c>
      <c r="C808" s="10">
        <f>IF(AND(Premissas!$B$10&gt;1,A808&lt;Premissas!$B$9),B808*Premissas!$B$10,B808)</f>
        <v/>
      </c>
      <c r="D808" s="12" t="n"/>
      <c r="E808" s="10">
        <f>Precos!J808</f>
        <v/>
      </c>
      <c r="F808" s="12" t="n"/>
    </row>
    <row r="809">
      <c r="A809" s="9">
        <f>Precos!A809</f>
        <v/>
      </c>
      <c r="B809" s="10">
        <f>INDEX(Precos!$B809:$I809,MATCH(Premissas!$B$8,Precos!$B$3:$I$3,0))</f>
        <v/>
      </c>
      <c r="C809" s="10">
        <f>IF(AND(Premissas!$B$10&gt;1,A809&lt;Premissas!$B$9),B809*Premissas!$B$10,B809)</f>
        <v/>
      </c>
      <c r="D809" s="12" t="n"/>
      <c r="E809" s="10">
        <f>Precos!J809</f>
        <v/>
      </c>
      <c r="F809" s="12" t="n"/>
    </row>
    <row r="810">
      <c r="A810" s="9">
        <f>Precos!A810</f>
        <v/>
      </c>
      <c r="B810" s="10">
        <f>INDEX(Precos!$B810:$I810,MATCH(Premissas!$B$8,Precos!$B$3:$I$3,0))</f>
        <v/>
      </c>
      <c r="C810" s="10">
        <f>IF(AND(Premissas!$B$10&gt;1,A810&lt;Premissas!$B$9),B810*Premissas!$B$10,B810)</f>
        <v/>
      </c>
      <c r="D810" s="12" t="n"/>
      <c r="E810" s="10">
        <f>Precos!J810</f>
        <v/>
      </c>
      <c r="F810" s="12" t="n"/>
    </row>
    <row r="811">
      <c r="A811" s="9">
        <f>Precos!A811</f>
        <v/>
      </c>
      <c r="B811" s="10">
        <f>INDEX(Precos!$B811:$I811,MATCH(Premissas!$B$8,Precos!$B$3:$I$3,0))</f>
        <v/>
      </c>
      <c r="C811" s="10">
        <f>IF(AND(Premissas!$B$10&gt;1,A811&lt;Premissas!$B$9),B811*Premissas!$B$10,B811)</f>
        <v/>
      </c>
      <c r="D811" s="12" t="n"/>
      <c r="E811" s="10">
        <f>Precos!J811</f>
        <v/>
      </c>
      <c r="F811" s="12" t="n"/>
    </row>
    <row r="812">
      <c r="A812" s="9">
        <f>Precos!A812</f>
        <v/>
      </c>
      <c r="B812" s="10">
        <f>INDEX(Precos!$B812:$I812,MATCH(Premissas!$B$8,Precos!$B$3:$I$3,0))</f>
        <v/>
      </c>
      <c r="C812" s="10">
        <f>IF(AND(Premissas!$B$10&gt;1,A812&lt;Premissas!$B$9),B812*Premissas!$B$10,B812)</f>
        <v/>
      </c>
      <c r="D812" s="12" t="n"/>
      <c r="E812" s="10">
        <f>Precos!J812</f>
        <v/>
      </c>
      <c r="F812" s="12" t="n"/>
    </row>
    <row r="813">
      <c r="A813" s="9">
        <f>Precos!A813</f>
        <v/>
      </c>
      <c r="B813" s="10">
        <f>INDEX(Precos!$B813:$I813,MATCH(Premissas!$B$8,Precos!$B$3:$I$3,0))</f>
        <v/>
      </c>
      <c r="C813" s="10">
        <f>IF(AND(Premissas!$B$10&gt;1,A813&lt;Premissas!$B$9),B813*Premissas!$B$10,B813)</f>
        <v/>
      </c>
      <c r="D813" s="12" t="n"/>
      <c r="E813" s="10">
        <f>Precos!J813</f>
        <v/>
      </c>
      <c r="F813" s="12" t="n"/>
    </row>
    <row r="814">
      <c r="A814" s="9">
        <f>Precos!A814</f>
        <v/>
      </c>
      <c r="B814" s="10">
        <f>INDEX(Precos!$B814:$I814,MATCH(Premissas!$B$8,Precos!$B$3:$I$3,0))</f>
        <v/>
      </c>
      <c r="C814" s="10">
        <f>IF(AND(Premissas!$B$10&gt;1,A814&lt;Premissas!$B$9),B814*Premissas!$B$10,B814)</f>
        <v/>
      </c>
      <c r="D814" s="12" t="n"/>
      <c r="E814" s="10">
        <f>Precos!J814</f>
        <v/>
      </c>
      <c r="F814" s="12" t="n"/>
    </row>
    <row r="815">
      <c r="A815" s="9">
        <f>Precos!A815</f>
        <v/>
      </c>
      <c r="B815" s="10">
        <f>INDEX(Precos!$B815:$I815,MATCH(Premissas!$B$8,Precos!$B$3:$I$3,0))</f>
        <v/>
      </c>
      <c r="C815" s="10">
        <f>IF(AND(Premissas!$B$10&gt;1,A815&lt;Premissas!$B$9),B815*Premissas!$B$10,B815)</f>
        <v/>
      </c>
      <c r="D815" s="12" t="n"/>
      <c r="E815" s="10">
        <f>Precos!J815</f>
        <v/>
      </c>
      <c r="F815" s="12" t="n"/>
    </row>
    <row r="816">
      <c r="A816" s="9">
        <f>Precos!A816</f>
        <v/>
      </c>
      <c r="B816" s="10">
        <f>INDEX(Precos!$B816:$I816,MATCH(Premissas!$B$8,Precos!$B$3:$I$3,0))</f>
        <v/>
      </c>
      <c r="C816" s="10">
        <f>IF(AND(Premissas!$B$10&gt;1,A816&lt;Premissas!$B$9),B816*Premissas!$B$10,B816)</f>
        <v/>
      </c>
      <c r="D816" s="12" t="n"/>
      <c r="E816" s="10">
        <f>Precos!J816</f>
        <v/>
      </c>
      <c r="F816" s="12" t="n"/>
    </row>
    <row r="817">
      <c r="A817" s="9">
        <f>Precos!A817</f>
        <v/>
      </c>
      <c r="B817" s="10">
        <f>INDEX(Precos!$B817:$I817,MATCH(Premissas!$B$8,Precos!$B$3:$I$3,0))</f>
        <v/>
      </c>
      <c r="C817" s="10">
        <f>IF(AND(Premissas!$B$10&gt;1,A817&lt;Premissas!$B$9),B817*Premissas!$B$10,B817)</f>
        <v/>
      </c>
      <c r="D817" s="12" t="n"/>
      <c r="E817" s="10">
        <f>Precos!J817</f>
        <v/>
      </c>
      <c r="F817" s="12" t="n"/>
    </row>
    <row r="818">
      <c r="A818" s="9">
        <f>Precos!A818</f>
        <v/>
      </c>
      <c r="B818" s="10">
        <f>INDEX(Precos!$B818:$I818,MATCH(Premissas!$B$8,Precos!$B$3:$I$3,0))</f>
        <v/>
      </c>
      <c r="C818" s="10">
        <f>IF(AND(Premissas!$B$10&gt;1,A818&lt;Premissas!$B$9),B818*Premissas!$B$10,B818)</f>
        <v/>
      </c>
      <c r="D818" s="12" t="n"/>
      <c r="E818" s="10">
        <f>Precos!J818</f>
        <v/>
      </c>
      <c r="F818" s="12" t="n"/>
    </row>
    <row r="819">
      <c r="A819" s="9">
        <f>Precos!A819</f>
        <v/>
      </c>
      <c r="B819" s="10">
        <f>INDEX(Precos!$B819:$I819,MATCH(Premissas!$B$8,Precos!$B$3:$I$3,0))</f>
        <v/>
      </c>
      <c r="C819" s="10">
        <f>IF(AND(Premissas!$B$10&gt;1,A819&lt;Premissas!$B$9),B819*Premissas!$B$10,B819)</f>
        <v/>
      </c>
      <c r="D819" s="12" t="n"/>
      <c r="E819" s="10">
        <f>Precos!J819</f>
        <v/>
      </c>
      <c r="F819" s="12" t="n"/>
    </row>
    <row r="820">
      <c r="A820" s="9">
        <f>Precos!A820</f>
        <v/>
      </c>
      <c r="B820" s="10">
        <f>INDEX(Precos!$B820:$I820,MATCH(Premissas!$B$8,Precos!$B$3:$I$3,0))</f>
        <v/>
      </c>
      <c r="C820" s="10">
        <f>IF(AND(Premissas!$B$10&gt;1,A820&lt;Premissas!$B$9),B820*Premissas!$B$10,B820)</f>
        <v/>
      </c>
      <c r="D820" s="12" t="n"/>
      <c r="E820" s="10">
        <f>Precos!J820</f>
        <v/>
      </c>
      <c r="F820" s="12" t="n"/>
    </row>
    <row r="821">
      <c r="A821" s="9">
        <f>Precos!A821</f>
        <v/>
      </c>
      <c r="B821" s="10">
        <f>INDEX(Precos!$B821:$I821,MATCH(Premissas!$B$8,Precos!$B$3:$I$3,0))</f>
        <v/>
      </c>
      <c r="C821" s="10">
        <f>IF(AND(Premissas!$B$10&gt;1,A821&lt;Premissas!$B$9),B821*Premissas!$B$10,B821)</f>
        <v/>
      </c>
      <c r="D821" s="12" t="n"/>
      <c r="E821" s="10">
        <f>Precos!J821</f>
        <v/>
      </c>
      <c r="F821" s="12" t="n"/>
    </row>
    <row r="822">
      <c r="A822" s="9">
        <f>Precos!A822</f>
        <v/>
      </c>
      <c r="B822" s="10">
        <f>INDEX(Precos!$B822:$I822,MATCH(Premissas!$B$8,Precos!$B$3:$I$3,0))</f>
        <v/>
      </c>
      <c r="C822" s="10">
        <f>IF(AND(Premissas!$B$10&gt;1,A822&lt;Premissas!$B$9),B822*Premissas!$B$10,B822)</f>
        <v/>
      </c>
      <c r="D822" s="12" t="n"/>
      <c r="E822" s="10">
        <f>Precos!J822</f>
        <v/>
      </c>
      <c r="F822" s="12" t="n"/>
    </row>
    <row r="823">
      <c r="A823" s="9">
        <f>Precos!A823</f>
        <v/>
      </c>
      <c r="B823" s="10">
        <f>INDEX(Precos!$B823:$I823,MATCH(Premissas!$B$8,Precos!$B$3:$I$3,0))</f>
        <v/>
      </c>
      <c r="C823" s="10">
        <f>IF(AND(Premissas!$B$10&gt;1,A823&lt;Premissas!$B$9),B823*Premissas!$B$10,B823)</f>
        <v/>
      </c>
      <c r="D823" s="12" t="n"/>
      <c r="E823" s="10">
        <f>Precos!J823</f>
        <v/>
      </c>
      <c r="F823" s="12" t="n"/>
    </row>
    <row r="824">
      <c r="A824" s="9">
        <f>Precos!A824</f>
        <v/>
      </c>
      <c r="B824" s="10">
        <f>INDEX(Precos!$B824:$I824,MATCH(Premissas!$B$8,Precos!$B$3:$I$3,0))</f>
        <v/>
      </c>
      <c r="C824" s="10">
        <f>IF(AND(Premissas!$B$10&gt;1,A824&lt;Premissas!$B$9),B824*Premissas!$B$10,B824)</f>
        <v/>
      </c>
      <c r="D824" s="12" t="n"/>
      <c r="E824" s="10">
        <f>Precos!J824</f>
        <v/>
      </c>
      <c r="F824" s="12" t="n"/>
    </row>
    <row r="825">
      <c r="A825" s="9">
        <f>Precos!A825</f>
        <v/>
      </c>
      <c r="B825" s="10">
        <f>INDEX(Precos!$B825:$I825,MATCH(Premissas!$B$8,Precos!$B$3:$I$3,0))</f>
        <v/>
      </c>
      <c r="C825" s="10">
        <f>IF(AND(Premissas!$B$10&gt;1,A825&lt;Premissas!$B$9),B825*Premissas!$B$10,B825)</f>
        <v/>
      </c>
      <c r="D825" s="12" t="n"/>
      <c r="E825" s="10">
        <f>Precos!J825</f>
        <v/>
      </c>
      <c r="F825" s="12" t="n"/>
    </row>
    <row r="826">
      <c r="A826" s="9">
        <f>Precos!A826</f>
        <v/>
      </c>
      <c r="B826" s="10">
        <f>INDEX(Precos!$B826:$I826,MATCH(Premissas!$B$8,Precos!$B$3:$I$3,0))</f>
        <v/>
      </c>
      <c r="C826" s="10">
        <f>IF(AND(Premissas!$B$10&gt;1,A826&lt;Premissas!$B$9),B826*Premissas!$B$10,B826)</f>
        <v/>
      </c>
      <c r="D826" s="12" t="n"/>
      <c r="E826" s="10">
        <f>Precos!J826</f>
        <v/>
      </c>
      <c r="F826" s="12" t="n"/>
    </row>
    <row r="827">
      <c r="A827" s="9">
        <f>Precos!A827</f>
        <v/>
      </c>
      <c r="B827" s="10">
        <f>INDEX(Precos!$B827:$I827,MATCH(Premissas!$B$8,Precos!$B$3:$I$3,0))</f>
        <v/>
      </c>
      <c r="C827" s="10">
        <f>IF(AND(Premissas!$B$10&gt;1,A827&lt;Premissas!$B$9),B827*Premissas!$B$10,B827)</f>
        <v/>
      </c>
      <c r="D827" s="12" t="n"/>
      <c r="E827" s="10">
        <f>Precos!J827</f>
        <v/>
      </c>
      <c r="F827" s="12" t="n"/>
    </row>
    <row r="828">
      <c r="A828" s="9">
        <f>Precos!A828</f>
        <v/>
      </c>
      <c r="B828" s="10">
        <f>INDEX(Precos!$B828:$I828,MATCH(Premissas!$B$8,Precos!$B$3:$I$3,0))</f>
        <v/>
      </c>
      <c r="C828" s="10">
        <f>IF(AND(Premissas!$B$10&gt;1,A828&lt;Premissas!$B$9),B828*Premissas!$B$10,B828)</f>
        <v/>
      </c>
      <c r="D828" s="12" t="n"/>
      <c r="E828" s="10">
        <f>Precos!J828</f>
        <v/>
      </c>
      <c r="F828" s="12" t="n"/>
    </row>
    <row r="829">
      <c r="A829" s="9">
        <f>Precos!A829</f>
        <v/>
      </c>
      <c r="B829" s="10">
        <f>INDEX(Precos!$B829:$I829,MATCH(Premissas!$B$8,Precos!$B$3:$I$3,0))</f>
        <v/>
      </c>
      <c r="C829" s="10">
        <f>IF(AND(Premissas!$B$10&gt;1,A829&lt;Premissas!$B$9),B829*Premissas!$B$10,B829)</f>
        <v/>
      </c>
      <c r="D829" s="12" t="n"/>
      <c r="E829" s="10">
        <f>Precos!J829</f>
        <v/>
      </c>
      <c r="F829" s="12" t="n"/>
    </row>
    <row r="830">
      <c r="A830" s="9">
        <f>Precos!A830</f>
        <v/>
      </c>
      <c r="B830" s="10">
        <f>INDEX(Precos!$B830:$I830,MATCH(Premissas!$B$8,Precos!$B$3:$I$3,0))</f>
        <v/>
      </c>
      <c r="C830" s="10">
        <f>IF(AND(Premissas!$B$10&gt;1,A830&lt;Premissas!$B$9),B830*Premissas!$B$10,B830)</f>
        <v/>
      </c>
      <c r="D830" s="12" t="n"/>
      <c r="E830" s="10">
        <f>Precos!J830</f>
        <v/>
      </c>
      <c r="F830" s="12" t="n"/>
    </row>
    <row r="831">
      <c r="A831" s="9">
        <f>Precos!A831</f>
        <v/>
      </c>
      <c r="B831" s="10">
        <f>INDEX(Precos!$B831:$I831,MATCH(Premissas!$B$8,Precos!$B$3:$I$3,0))</f>
        <v/>
      </c>
      <c r="C831" s="10">
        <f>IF(AND(Premissas!$B$10&gt;1,A831&lt;Premissas!$B$9),B831*Premissas!$B$10,B831)</f>
        <v/>
      </c>
      <c r="D831" s="12" t="n"/>
      <c r="E831" s="10">
        <f>Precos!J831</f>
        <v/>
      </c>
      <c r="F831" s="12" t="n"/>
    </row>
    <row r="832">
      <c r="A832" s="9">
        <f>Precos!A832</f>
        <v/>
      </c>
      <c r="B832" s="10">
        <f>INDEX(Precos!$B832:$I832,MATCH(Premissas!$B$8,Precos!$B$3:$I$3,0))</f>
        <v/>
      </c>
      <c r="C832" s="10">
        <f>IF(AND(Premissas!$B$10&gt;1,A832&lt;Premissas!$B$9),B832*Premissas!$B$10,B832)</f>
        <v/>
      </c>
      <c r="D832" s="12" t="n"/>
      <c r="E832" s="10">
        <f>Precos!J832</f>
        <v/>
      </c>
      <c r="F832" s="12" t="n"/>
    </row>
    <row r="833">
      <c r="A833" s="9">
        <f>Precos!A833</f>
        <v/>
      </c>
      <c r="B833" s="10">
        <f>INDEX(Precos!$B833:$I833,MATCH(Premissas!$B$8,Precos!$B$3:$I$3,0))</f>
        <v/>
      </c>
      <c r="C833" s="10">
        <f>IF(AND(Premissas!$B$10&gt;1,A833&lt;Premissas!$B$9),B833*Premissas!$B$10,B833)</f>
        <v/>
      </c>
      <c r="D833" s="12" t="n"/>
      <c r="E833" s="10">
        <f>Precos!J833</f>
        <v/>
      </c>
      <c r="F833" s="12" t="n"/>
    </row>
    <row r="834">
      <c r="A834" s="9">
        <f>Precos!A834</f>
        <v/>
      </c>
      <c r="B834" s="10">
        <f>INDEX(Precos!$B834:$I834,MATCH(Premissas!$B$8,Precos!$B$3:$I$3,0))</f>
        <v/>
      </c>
      <c r="C834" s="10">
        <f>IF(AND(Premissas!$B$10&gt;1,A834&lt;Premissas!$B$9),B834*Premissas!$B$10,B834)</f>
        <v/>
      </c>
      <c r="D834" s="12" t="n"/>
      <c r="E834" s="10">
        <f>Precos!J834</f>
        <v/>
      </c>
      <c r="F834" s="12" t="n"/>
    </row>
    <row r="835">
      <c r="A835" s="9">
        <f>Precos!A835</f>
        <v/>
      </c>
      <c r="B835" s="10">
        <f>INDEX(Precos!$B835:$I835,MATCH(Premissas!$B$8,Precos!$B$3:$I$3,0))</f>
        <v/>
      </c>
      <c r="C835" s="10">
        <f>IF(AND(Premissas!$B$10&gt;1,A835&lt;Premissas!$B$9),B835*Premissas!$B$10,B835)</f>
        <v/>
      </c>
      <c r="D835" s="12" t="n"/>
      <c r="E835" s="10">
        <f>Precos!J835</f>
        <v/>
      </c>
      <c r="F835" s="12" t="n"/>
    </row>
    <row r="836">
      <c r="A836" s="9">
        <f>Precos!A836</f>
        <v/>
      </c>
      <c r="B836" s="10">
        <f>INDEX(Precos!$B836:$I836,MATCH(Premissas!$B$8,Precos!$B$3:$I$3,0))</f>
        <v/>
      </c>
      <c r="C836" s="10">
        <f>IF(AND(Premissas!$B$10&gt;1,A836&lt;Premissas!$B$9),B836*Premissas!$B$10,B836)</f>
        <v/>
      </c>
      <c r="D836" s="12" t="n"/>
      <c r="E836" s="10">
        <f>Precos!J836</f>
        <v/>
      </c>
      <c r="F836" s="12" t="n"/>
    </row>
    <row r="837">
      <c r="A837" s="9">
        <f>Precos!A837</f>
        <v/>
      </c>
      <c r="B837" s="10">
        <f>INDEX(Precos!$B837:$I837,MATCH(Premissas!$B$8,Precos!$B$3:$I$3,0))</f>
        <v/>
      </c>
      <c r="C837" s="10">
        <f>IF(AND(Premissas!$B$10&gt;1,A837&lt;Premissas!$B$9),B837*Premissas!$B$10,B837)</f>
        <v/>
      </c>
      <c r="D837" s="12" t="n"/>
      <c r="E837" s="10">
        <f>Precos!J837</f>
        <v/>
      </c>
      <c r="F837" s="12" t="n"/>
    </row>
    <row r="838">
      <c r="A838" s="9">
        <f>Precos!A838</f>
        <v/>
      </c>
      <c r="B838" s="10">
        <f>INDEX(Precos!$B838:$I838,MATCH(Premissas!$B$8,Precos!$B$3:$I$3,0))</f>
        <v/>
      </c>
      <c r="C838" s="10">
        <f>IF(AND(Premissas!$B$10&gt;1,A838&lt;Premissas!$B$9),B838*Premissas!$B$10,B838)</f>
        <v/>
      </c>
      <c r="D838" s="12" t="n"/>
      <c r="E838" s="10">
        <f>Precos!J838</f>
        <v/>
      </c>
      <c r="F838" s="12" t="n"/>
    </row>
    <row r="839">
      <c r="A839" s="9">
        <f>Precos!A839</f>
        <v/>
      </c>
      <c r="B839" s="10">
        <f>INDEX(Precos!$B839:$I839,MATCH(Premissas!$B$8,Precos!$B$3:$I$3,0))</f>
        <v/>
      </c>
      <c r="C839" s="10">
        <f>IF(AND(Premissas!$B$10&gt;1,A839&lt;Premissas!$B$9),B839*Premissas!$B$10,B839)</f>
        <v/>
      </c>
      <c r="D839" s="12" t="n"/>
      <c r="E839" s="10">
        <f>Precos!J839</f>
        <v/>
      </c>
      <c r="F839" s="12" t="n"/>
    </row>
    <row r="840">
      <c r="A840" s="9">
        <f>Precos!A840</f>
        <v/>
      </c>
      <c r="B840" s="10">
        <f>INDEX(Precos!$B840:$I840,MATCH(Premissas!$B$8,Precos!$B$3:$I$3,0))</f>
        <v/>
      </c>
      <c r="C840" s="10">
        <f>IF(AND(Premissas!$B$10&gt;1,A840&lt;Premissas!$B$9),B840*Premissas!$B$10,B840)</f>
        <v/>
      </c>
      <c r="D840" s="12" t="n"/>
      <c r="E840" s="10">
        <f>Precos!J840</f>
        <v/>
      </c>
      <c r="F840" s="12" t="n"/>
    </row>
    <row r="841">
      <c r="A841" s="9">
        <f>Precos!A841</f>
        <v/>
      </c>
      <c r="B841" s="10">
        <f>INDEX(Precos!$B841:$I841,MATCH(Premissas!$B$8,Precos!$B$3:$I$3,0))</f>
        <v/>
      </c>
      <c r="C841" s="10">
        <f>IF(AND(Premissas!$B$10&gt;1,A841&lt;Premissas!$B$9),B841*Premissas!$B$10,B841)</f>
        <v/>
      </c>
      <c r="D841" s="12" t="n"/>
      <c r="E841" s="10">
        <f>Precos!J841</f>
        <v/>
      </c>
      <c r="F841" s="12" t="n"/>
    </row>
    <row r="842">
      <c r="A842" s="9">
        <f>Precos!A842</f>
        <v/>
      </c>
      <c r="B842" s="10">
        <f>INDEX(Precos!$B842:$I842,MATCH(Premissas!$B$8,Precos!$B$3:$I$3,0))</f>
        <v/>
      </c>
      <c r="C842" s="10">
        <f>IF(AND(Premissas!$B$10&gt;1,A842&lt;Premissas!$B$9),B842*Premissas!$B$10,B842)</f>
        <v/>
      </c>
      <c r="D842" s="12" t="n"/>
      <c r="E842" s="10">
        <f>Precos!J842</f>
        <v/>
      </c>
      <c r="F842" s="12" t="n"/>
    </row>
    <row r="843">
      <c r="A843" s="9">
        <f>Precos!A843</f>
        <v/>
      </c>
      <c r="B843" s="10">
        <f>INDEX(Precos!$B843:$I843,MATCH(Premissas!$B$8,Precos!$B$3:$I$3,0))</f>
        <v/>
      </c>
      <c r="C843" s="10">
        <f>IF(AND(Premissas!$B$10&gt;1,A843&lt;Premissas!$B$9),B843*Premissas!$B$10,B843)</f>
        <v/>
      </c>
      <c r="D843" s="12" t="n"/>
      <c r="E843" s="10">
        <f>Precos!J843</f>
        <v/>
      </c>
      <c r="F843" s="12" t="n"/>
    </row>
    <row r="844">
      <c r="A844" s="9">
        <f>Precos!A844</f>
        <v/>
      </c>
      <c r="B844" s="10">
        <f>INDEX(Precos!$B844:$I844,MATCH(Premissas!$B$8,Precos!$B$3:$I$3,0))</f>
        <v/>
      </c>
      <c r="C844" s="10">
        <f>IF(AND(Premissas!$B$10&gt;1,A844&lt;Premissas!$B$9),B844*Premissas!$B$10,B844)</f>
        <v/>
      </c>
      <c r="D844" s="12" t="n"/>
      <c r="E844" s="10">
        <f>Precos!J844</f>
        <v/>
      </c>
      <c r="F844" s="12" t="n"/>
    </row>
    <row r="845">
      <c r="A845" s="9">
        <f>Precos!A845</f>
        <v/>
      </c>
      <c r="B845" s="10">
        <f>INDEX(Precos!$B845:$I845,MATCH(Premissas!$B$8,Precos!$B$3:$I$3,0))</f>
        <v/>
      </c>
      <c r="C845" s="10">
        <f>IF(AND(Premissas!$B$10&gt;1,A845&lt;Premissas!$B$9),B845*Premissas!$B$10,B845)</f>
        <v/>
      </c>
      <c r="D845" s="12" t="n"/>
      <c r="E845" s="10">
        <f>Precos!J845</f>
        <v/>
      </c>
      <c r="F845" s="12" t="n"/>
    </row>
    <row r="846">
      <c r="A846" s="9">
        <f>Precos!A846</f>
        <v/>
      </c>
      <c r="B846" s="10">
        <f>INDEX(Precos!$B846:$I846,MATCH(Premissas!$B$8,Precos!$B$3:$I$3,0))</f>
        <v/>
      </c>
      <c r="C846" s="10">
        <f>IF(AND(Premissas!$B$10&gt;1,A846&lt;Premissas!$B$9),B846*Premissas!$B$10,B846)</f>
        <v/>
      </c>
      <c r="D846" s="12" t="n"/>
      <c r="E846" s="10">
        <f>Precos!J846</f>
        <v/>
      </c>
      <c r="F846" s="12" t="n"/>
    </row>
    <row r="847">
      <c r="A847" s="9">
        <f>Precos!A847</f>
        <v/>
      </c>
      <c r="B847" s="10">
        <f>INDEX(Precos!$B847:$I847,MATCH(Premissas!$B$8,Precos!$B$3:$I$3,0))</f>
        <v/>
      </c>
      <c r="C847" s="10">
        <f>IF(AND(Premissas!$B$10&gt;1,A847&lt;Premissas!$B$9),B847*Premissas!$B$10,B847)</f>
        <v/>
      </c>
      <c r="D847" s="12" t="n"/>
      <c r="E847" s="10">
        <f>Precos!J847</f>
        <v/>
      </c>
      <c r="F847" s="12" t="n"/>
    </row>
    <row r="848">
      <c r="A848" s="9">
        <f>Precos!A848</f>
        <v/>
      </c>
      <c r="B848" s="10">
        <f>INDEX(Precos!$B848:$I848,MATCH(Premissas!$B$8,Precos!$B$3:$I$3,0))</f>
        <v/>
      </c>
      <c r="C848" s="10">
        <f>IF(AND(Premissas!$B$10&gt;1,A848&lt;Premissas!$B$9),B848*Premissas!$B$10,B848)</f>
        <v/>
      </c>
      <c r="D848" s="12" t="n"/>
      <c r="E848" s="10">
        <f>Precos!J848</f>
        <v/>
      </c>
      <c r="F848" s="12" t="n"/>
    </row>
    <row r="849">
      <c r="A849" s="9">
        <f>Precos!A849</f>
        <v/>
      </c>
      <c r="B849" s="10">
        <f>INDEX(Precos!$B849:$I849,MATCH(Premissas!$B$8,Precos!$B$3:$I$3,0))</f>
        <v/>
      </c>
      <c r="C849" s="10">
        <f>IF(AND(Premissas!$B$10&gt;1,A849&lt;Premissas!$B$9),B849*Premissas!$B$10,B849)</f>
        <v/>
      </c>
      <c r="D849" s="12" t="n"/>
      <c r="E849" s="10">
        <f>Precos!J849</f>
        <v/>
      </c>
      <c r="F849" s="12" t="n"/>
    </row>
    <row r="850">
      <c r="A850" s="9">
        <f>Precos!A850</f>
        <v/>
      </c>
      <c r="B850" s="10">
        <f>INDEX(Precos!$B850:$I850,MATCH(Premissas!$B$8,Precos!$B$3:$I$3,0))</f>
        <v/>
      </c>
      <c r="C850" s="10">
        <f>IF(AND(Premissas!$B$10&gt;1,A850&lt;Premissas!$B$9),B850*Premissas!$B$10,B850)</f>
        <v/>
      </c>
      <c r="D850" s="12" t="n"/>
      <c r="E850" s="10">
        <f>Precos!J850</f>
        <v/>
      </c>
      <c r="F850" s="12" t="n"/>
    </row>
    <row r="851">
      <c r="A851" s="9">
        <f>Precos!A851</f>
        <v/>
      </c>
      <c r="B851" s="10">
        <f>INDEX(Precos!$B851:$I851,MATCH(Premissas!$B$8,Precos!$B$3:$I$3,0))</f>
        <v/>
      </c>
      <c r="C851" s="10">
        <f>IF(AND(Premissas!$B$10&gt;1,A851&lt;Premissas!$B$9),B851*Premissas!$B$10,B851)</f>
        <v/>
      </c>
      <c r="D851" s="12" t="n"/>
      <c r="E851" s="10">
        <f>Precos!J851</f>
        <v/>
      </c>
      <c r="F851" s="12" t="n"/>
    </row>
    <row r="852">
      <c r="A852" s="9">
        <f>Precos!A852</f>
        <v/>
      </c>
      <c r="B852" s="10">
        <f>INDEX(Precos!$B852:$I852,MATCH(Premissas!$B$8,Precos!$B$3:$I$3,0))</f>
        <v/>
      </c>
      <c r="C852" s="10">
        <f>IF(AND(Premissas!$B$10&gt;1,A852&lt;Premissas!$B$9),B852*Premissas!$B$10,B852)</f>
        <v/>
      </c>
      <c r="D852" s="12" t="n"/>
      <c r="E852" s="10">
        <f>Precos!J852</f>
        <v/>
      </c>
      <c r="F852" s="12" t="n"/>
    </row>
    <row r="853">
      <c r="A853" s="9">
        <f>Precos!A853</f>
        <v/>
      </c>
      <c r="B853" s="10">
        <f>INDEX(Precos!$B853:$I853,MATCH(Premissas!$B$8,Precos!$B$3:$I$3,0))</f>
        <v/>
      </c>
      <c r="C853" s="10">
        <f>IF(AND(Premissas!$B$10&gt;1,A853&lt;Premissas!$B$9),B853*Premissas!$B$10,B853)</f>
        <v/>
      </c>
      <c r="D853" s="12" t="n"/>
      <c r="E853" s="10">
        <f>Precos!J853</f>
        <v/>
      </c>
      <c r="F853" s="12" t="n"/>
    </row>
    <row r="854">
      <c r="A854" s="9">
        <f>Precos!A854</f>
        <v/>
      </c>
      <c r="B854" s="10">
        <f>INDEX(Precos!$B854:$I854,MATCH(Premissas!$B$8,Precos!$B$3:$I$3,0))</f>
        <v/>
      </c>
      <c r="C854" s="10">
        <f>IF(AND(Premissas!$B$10&gt;1,A854&lt;Premissas!$B$9),B854*Premissas!$B$10,B854)</f>
        <v/>
      </c>
      <c r="D854" s="12" t="n"/>
      <c r="E854" s="10">
        <f>Precos!J854</f>
        <v/>
      </c>
      <c r="F854" s="12" t="n"/>
    </row>
    <row r="855">
      <c r="A855" s="9">
        <f>Precos!A855</f>
        <v/>
      </c>
      <c r="B855" s="10">
        <f>INDEX(Precos!$B855:$I855,MATCH(Premissas!$B$8,Precos!$B$3:$I$3,0))</f>
        <v/>
      </c>
      <c r="C855" s="10">
        <f>IF(AND(Premissas!$B$10&gt;1,A855&lt;Premissas!$B$9),B855*Premissas!$B$10,B855)</f>
        <v/>
      </c>
      <c r="D855" s="12" t="n"/>
      <c r="E855" s="10">
        <f>Precos!J855</f>
        <v/>
      </c>
      <c r="F855" s="12" t="n"/>
    </row>
    <row r="856">
      <c r="A856" s="9">
        <f>Precos!A856</f>
        <v/>
      </c>
      <c r="B856" s="10">
        <f>INDEX(Precos!$B856:$I856,MATCH(Premissas!$B$8,Precos!$B$3:$I$3,0))</f>
        <v/>
      </c>
      <c r="C856" s="10">
        <f>IF(AND(Premissas!$B$10&gt;1,A856&lt;Premissas!$B$9),B856*Premissas!$B$10,B856)</f>
        <v/>
      </c>
      <c r="D856" s="12" t="n"/>
      <c r="E856" s="10">
        <f>Precos!J856</f>
        <v/>
      </c>
      <c r="F856" s="12" t="n"/>
    </row>
    <row r="857">
      <c r="A857" s="9">
        <f>Precos!A857</f>
        <v/>
      </c>
      <c r="B857" s="10">
        <f>INDEX(Precos!$B857:$I857,MATCH(Premissas!$B$8,Precos!$B$3:$I$3,0))</f>
        <v/>
      </c>
      <c r="C857" s="10">
        <f>IF(AND(Premissas!$B$10&gt;1,A857&lt;Premissas!$B$9),B857*Premissas!$B$10,B857)</f>
        <v/>
      </c>
      <c r="D857" s="12" t="n"/>
      <c r="E857" s="10">
        <f>Precos!J857</f>
        <v/>
      </c>
      <c r="F857" s="12" t="n"/>
    </row>
    <row r="858">
      <c r="A858" s="9">
        <f>Precos!A858</f>
        <v/>
      </c>
      <c r="B858" s="10">
        <f>INDEX(Precos!$B858:$I858,MATCH(Premissas!$B$8,Precos!$B$3:$I$3,0))</f>
        <v/>
      </c>
      <c r="C858" s="10">
        <f>IF(AND(Premissas!$B$10&gt;1,A858&lt;Premissas!$B$9),B858*Premissas!$B$10,B858)</f>
        <v/>
      </c>
      <c r="D858" s="12" t="n"/>
      <c r="E858" s="10">
        <f>Precos!J858</f>
        <v/>
      </c>
      <c r="F858" s="12" t="n"/>
    </row>
    <row r="859">
      <c r="A859" s="9">
        <f>Precos!A859</f>
        <v/>
      </c>
      <c r="B859" s="10">
        <f>INDEX(Precos!$B859:$I859,MATCH(Premissas!$B$8,Precos!$B$3:$I$3,0))</f>
        <v/>
      </c>
      <c r="C859" s="10">
        <f>IF(AND(Premissas!$B$10&gt;1,A859&lt;Premissas!$B$9),B859*Premissas!$B$10,B859)</f>
        <v/>
      </c>
      <c r="D859" s="12" t="n"/>
      <c r="E859" s="10">
        <f>Precos!J859</f>
        <v/>
      </c>
      <c r="F859" s="12" t="n"/>
    </row>
    <row r="860">
      <c r="A860" s="9">
        <f>Precos!A860</f>
        <v/>
      </c>
      <c r="B860" s="10">
        <f>INDEX(Precos!$B860:$I860,MATCH(Premissas!$B$8,Precos!$B$3:$I$3,0))</f>
        <v/>
      </c>
      <c r="C860" s="10">
        <f>IF(AND(Premissas!$B$10&gt;1,A860&lt;Premissas!$B$9),B860*Premissas!$B$10,B860)</f>
        <v/>
      </c>
      <c r="D860" s="12" t="n"/>
      <c r="E860" s="10">
        <f>Precos!J860</f>
        <v/>
      </c>
      <c r="F860" s="12" t="n"/>
    </row>
    <row r="861">
      <c r="A861" s="9">
        <f>Precos!A861</f>
        <v/>
      </c>
      <c r="B861" s="10">
        <f>INDEX(Precos!$B861:$I861,MATCH(Premissas!$B$8,Precos!$B$3:$I$3,0))</f>
        <v/>
      </c>
      <c r="C861" s="10">
        <f>IF(AND(Premissas!$B$10&gt;1,A861&lt;Premissas!$B$9),B861*Premissas!$B$10,B861)</f>
        <v/>
      </c>
      <c r="D861" s="12" t="n"/>
      <c r="E861" s="10">
        <f>Precos!J861</f>
        <v/>
      </c>
      <c r="F861" s="12" t="n"/>
    </row>
    <row r="862">
      <c r="A862" s="9">
        <f>Precos!A862</f>
        <v/>
      </c>
      <c r="B862" s="10">
        <f>INDEX(Precos!$B862:$I862,MATCH(Premissas!$B$8,Precos!$B$3:$I$3,0))</f>
        <v/>
      </c>
      <c r="C862" s="10">
        <f>IF(AND(Premissas!$B$10&gt;1,A862&lt;Premissas!$B$9),B862*Premissas!$B$10,B862)</f>
        <v/>
      </c>
      <c r="D862" s="12" t="n"/>
      <c r="E862" s="10">
        <f>Precos!J862</f>
        <v/>
      </c>
      <c r="F862" s="12" t="n"/>
    </row>
    <row r="863">
      <c r="A863" s="9">
        <f>Precos!A863</f>
        <v/>
      </c>
      <c r="B863" s="10">
        <f>INDEX(Precos!$B863:$I863,MATCH(Premissas!$B$8,Precos!$B$3:$I$3,0))</f>
        <v/>
      </c>
      <c r="C863" s="10">
        <f>IF(AND(Premissas!$B$10&gt;1,A863&lt;Premissas!$B$9),B863*Premissas!$B$10,B863)</f>
        <v/>
      </c>
      <c r="D863" s="12" t="n"/>
      <c r="E863" s="10">
        <f>Precos!J863</f>
        <v/>
      </c>
      <c r="F863" s="12" t="n"/>
    </row>
    <row r="864">
      <c r="A864" s="9">
        <f>Precos!A864</f>
        <v/>
      </c>
      <c r="B864" s="10">
        <f>INDEX(Precos!$B864:$I864,MATCH(Premissas!$B$8,Precos!$B$3:$I$3,0))</f>
        <v/>
      </c>
      <c r="C864" s="10">
        <f>IF(AND(Premissas!$B$10&gt;1,A864&lt;Premissas!$B$9),B864*Premissas!$B$10,B864)</f>
        <v/>
      </c>
      <c r="D864" s="12" t="n"/>
      <c r="E864" s="10">
        <f>Precos!J864</f>
        <v/>
      </c>
      <c r="F864" s="12" t="n"/>
    </row>
    <row r="865">
      <c r="A865" s="9">
        <f>Precos!A865</f>
        <v/>
      </c>
      <c r="B865" s="10">
        <f>INDEX(Precos!$B865:$I865,MATCH(Premissas!$B$8,Precos!$B$3:$I$3,0))</f>
        <v/>
      </c>
      <c r="C865" s="10">
        <f>IF(AND(Premissas!$B$10&gt;1,A865&lt;Premissas!$B$9),B865*Premissas!$B$10,B865)</f>
        <v/>
      </c>
      <c r="D865" s="12" t="n"/>
      <c r="E865" s="10">
        <f>Precos!J865</f>
        <v/>
      </c>
      <c r="F865" s="12" t="n"/>
    </row>
    <row r="866">
      <c r="A866" s="9">
        <f>Precos!A866</f>
        <v/>
      </c>
      <c r="B866" s="10">
        <f>INDEX(Precos!$B866:$I866,MATCH(Premissas!$B$8,Precos!$B$3:$I$3,0))</f>
        <v/>
      </c>
      <c r="C866" s="10">
        <f>IF(AND(Premissas!$B$10&gt;1,A866&lt;Premissas!$B$9),B866*Premissas!$B$10,B866)</f>
        <v/>
      </c>
      <c r="D866" s="12" t="n"/>
      <c r="E866" s="10">
        <f>Precos!J866</f>
        <v/>
      </c>
      <c r="F866" s="12" t="n"/>
    </row>
    <row r="867">
      <c r="A867" s="9">
        <f>Precos!A867</f>
        <v/>
      </c>
      <c r="B867" s="10">
        <f>INDEX(Precos!$B867:$I867,MATCH(Premissas!$B$8,Precos!$B$3:$I$3,0))</f>
        <v/>
      </c>
      <c r="C867" s="10">
        <f>IF(AND(Premissas!$B$10&gt;1,A867&lt;Premissas!$B$9),B867*Premissas!$B$10,B867)</f>
        <v/>
      </c>
      <c r="D867" s="12" t="n"/>
      <c r="E867" s="10">
        <f>Precos!J867</f>
        <v/>
      </c>
      <c r="F867" s="12" t="n"/>
    </row>
    <row r="868">
      <c r="A868" s="9">
        <f>Precos!A868</f>
        <v/>
      </c>
      <c r="B868" s="10">
        <f>INDEX(Precos!$B868:$I868,MATCH(Premissas!$B$8,Precos!$B$3:$I$3,0))</f>
        <v/>
      </c>
      <c r="C868" s="10">
        <f>IF(AND(Premissas!$B$10&gt;1,A868&lt;Premissas!$B$9),B868*Premissas!$B$10,B868)</f>
        <v/>
      </c>
      <c r="D868" s="12" t="n"/>
      <c r="E868" s="10">
        <f>Precos!J868</f>
        <v/>
      </c>
      <c r="F868" s="12" t="n"/>
    </row>
    <row r="869">
      <c r="A869" s="9">
        <f>Precos!A869</f>
        <v/>
      </c>
      <c r="B869" s="10">
        <f>INDEX(Precos!$B869:$I869,MATCH(Premissas!$B$8,Precos!$B$3:$I$3,0))</f>
        <v/>
      </c>
      <c r="C869" s="10">
        <f>IF(AND(Premissas!$B$10&gt;1,A869&lt;Premissas!$B$9),B869*Premissas!$B$10,B869)</f>
        <v/>
      </c>
      <c r="D869" s="12" t="n"/>
      <c r="E869" s="10">
        <f>Precos!J869</f>
        <v/>
      </c>
      <c r="F869" s="12" t="n"/>
    </row>
    <row r="870">
      <c r="A870" s="9">
        <f>Precos!A870</f>
        <v/>
      </c>
      <c r="B870" s="10">
        <f>INDEX(Precos!$B870:$I870,MATCH(Premissas!$B$8,Precos!$B$3:$I$3,0))</f>
        <v/>
      </c>
      <c r="C870" s="10">
        <f>IF(AND(Premissas!$B$10&gt;1,A870&lt;Premissas!$B$9),B870*Premissas!$B$10,B870)</f>
        <v/>
      </c>
      <c r="D870" s="12" t="n"/>
      <c r="E870" s="10">
        <f>Precos!J870</f>
        <v/>
      </c>
      <c r="F870" s="12" t="n"/>
    </row>
    <row r="871">
      <c r="A871" s="9">
        <f>Precos!A871</f>
        <v/>
      </c>
      <c r="B871" s="10">
        <f>INDEX(Precos!$B871:$I871,MATCH(Premissas!$B$8,Precos!$B$3:$I$3,0))</f>
        <v/>
      </c>
      <c r="C871" s="10">
        <f>IF(AND(Premissas!$B$10&gt;1,A871&lt;Premissas!$B$9),B871*Premissas!$B$10,B871)</f>
        <v/>
      </c>
      <c r="D871" s="12" t="n"/>
      <c r="E871" s="10">
        <f>Precos!J871</f>
        <v/>
      </c>
      <c r="F871" s="12" t="n"/>
    </row>
    <row r="872">
      <c r="A872" s="9">
        <f>Precos!A872</f>
        <v/>
      </c>
      <c r="B872" s="10">
        <f>INDEX(Precos!$B872:$I872,MATCH(Premissas!$B$8,Precos!$B$3:$I$3,0))</f>
        <v/>
      </c>
      <c r="C872" s="10">
        <f>IF(AND(Premissas!$B$10&gt;1,A872&lt;Premissas!$B$9),B872*Premissas!$B$10,B872)</f>
        <v/>
      </c>
      <c r="D872" s="12" t="n"/>
      <c r="E872" s="10">
        <f>Precos!J872</f>
        <v/>
      </c>
      <c r="F872" s="12" t="n"/>
    </row>
    <row r="873">
      <c r="A873" s="9">
        <f>Precos!A873</f>
        <v/>
      </c>
      <c r="B873" s="10">
        <f>INDEX(Precos!$B873:$I873,MATCH(Premissas!$B$8,Precos!$B$3:$I$3,0))</f>
        <v/>
      </c>
      <c r="C873" s="10">
        <f>IF(AND(Premissas!$B$10&gt;1,A873&lt;Premissas!$B$9),B873*Premissas!$B$10,B873)</f>
        <v/>
      </c>
      <c r="D873" s="12" t="n"/>
      <c r="E873" s="10">
        <f>Precos!J873</f>
        <v/>
      </c>
      <c r="F873" s="12" t="n"/>
    </row>
    <row r="874">
      <c r="A874" s="9">
        <f>Precos!A874</f>
        <v/>
      </c>
      <c r="B874" s="10">
        <f>INDEX(Precos!$B874:$I874,MATCH(Premissas!$B$8,Precos!$B$3:$I$3,0))</f>
        <v/>
      </c>
      <c r="C874" s="10">
        <f>IF(AND(Premissas!$B$10&gt;1,A874&lt;Premissas!$B$9),B874*Premissas!$B$10,B874)</f>
        <v/>
      </c>
      <c r="D874" s="12" t="n"/>
      <c r="E874" s="10">
        <f>Precos!J874</f>
        <v/>
      </c>
      <c r="F874" s="12" t="n"/>
    </row>
    <row r="875">
      <c r="A875" s="9">
        <f>Precos!A875</f>
        <v/>
      </c>
      <c r="B875" s="10">
        <f>INDEX(Precos!$B875:$I875,MATCH(Premissas!$B$8,Precos!$B$3:$I$3,0))</f>
        <v/>
      </c>
      <c r="C875" s="10">
        <f>IF(AND(Premissas!$B$10&gt;1,A875&lt;Premissas!$B$9),B875*Premissas!$B$10,B875)</f>
        <v/>
      </c>
      <c r="D875" s="12" t="n"/>
      <c r="E875" s="10">
        <f>Precos!J875</f>
        <v/>
      </c>
      <c r="F875" s="12" t="n"/>
    </row>
    <row r="876">
      <c r="A876" s="9">
        <f>Precos!A876</f>
        <v/>
      </c>
      <c r="B876" s="10">
        <f>INDEX(Precos!$B876:$I876,MATCH(Premissas!$B$8,Precos!$B$3:$I$3,0))</f>
        <v/>
      </c>
      <c r="C876" s="10">
        <f>IF(AND(Premissas!$B$10&gt;1,A876&lt;Premissas!$B$9),B876*Premissas!$B$10,B876)</f>
        <v/>
      </c>
      <c r="D876" s="12" t="n"/>
      <c r="E876" s="10">
        <f>Precos!J876</f>
        <v/>
      </c>
      <c r="F876" s="12" t="n"/>
    </row>
    <row r="877">
      <c r="A877" s="9">
        <f>Precos!A877</f>
        <v/>
      </c>
      <c r="B877" s="10">
        <f>INDEX(Precos!$B877:$I877,MATCH(Premissas!$B$8,Precos!$B$3:$I$3,0))</f>
        <v/>
      </c>
      <c r="C877" s="10">
        <f>IF(AND(Premissas!$B$10&gt;1,A877&lt;Premissas!$B$9),B877*Premissas!$B$10,B877)</f>
        <v/>
      </c>
      <c r="D877" s="12" t="n"/>
      <c r="E877" s="10">
        <f>Precos!J877</f>
        <v/>
      </c>
      <c r="F877" s="12" t="n"/>
    </row>
    <row r="878">
      <c r="A878" s="9">
        <f>Precos!A878</f>
        <v/>
      </c>
      <c r="B878" s="10">
        <f>INDEX(Precos!$B878:$I878,MATCH(Premissas!$B$8,Precos!$B$3:$I$3,0))</f>
        <v/>
      </c>
      <c r="C878" s="10">
        <f>IF(AND(Premissas!$B$10&gt;1,A878&lt;Premissas!$B$9),B878*Premissas!$B$10,B878)</f>
        <v/>
      </c>
      <c r="D878" s="12" t="n"/>
      <c r="E878" s="10">
        <f>Precos!J878</f>
        <v/>
      </c>
      <c r="F878" s="12" t="n"/>
    </row>
    <row r="879">
      <c r="A879" s="9">
        <f>Precos!A879</f>
        <v/>
      </c>
      <c r="B879" s="10">
        <f>INDEX(Precos!$B879:$I879,MATCH(Premissas!$B$8,Precos!$B$3:$I$3,0))</f>
        <v/>
      </c>
      <c r="C879" s="10">
        <f>IF(AND(Premissas!$B$10&gt;1,A879&lt;Premissas!$B$9),B879*Premissas!$B$10,B879)</f>
        <v/>
      </c>
      <c r="D879" s="12" t="n"/>
      <c r="E879" s="10">
        <f>Precos!J879</f>
        <v/>
      </c>
      <c r="F879" s="12" t="n"/>
    </row>
    <row r="880">
      <c r="A880" s="9">
        <f>Precos!A880</f>
        <v/>
      </c>
      <c r="B880" s="10">
        <f>INDEX(Precos!$B880:$I880,MATCH(Premissas!$B$8,Precos!$B$3:$I$3,0))</f>
        <v/>
      </c>
      <c r="C880" s="10">
        <f>IF(AND(Premissas!$B$10&gt;1,A880&lt;Premissas!$B$9),B880*Premissas!$B$10,B880)</f>
        <v/>
      </c>
      <c r="D880" s="12" t="n"/>
      <c r="E880" s="10">
        <f>Precos!J880</f>
        <v/>
      </c>
      <c r="F880" s="12" t="n"/>
    </row>
    <row r="881">
      <c r="A881" s="9">
        <f>Precos!A881</f>
        <v/>
      </c>
      <c r="B881" s="10">
        <f>INDEX(Precos!$B881:$I881,MATCH(Premissas!$B$8,Precos!$B$3:$I$3,0))</f>
        <v/>
      </c>
      <c r="C881" s="10">
        <f>IF(AND(Premissas!$B$10&gt;1,A881&lt;Premissas!$B$9),B881*Premissas!$B$10,B881)</f>
        <v/>
      </c>
      <c r="D881" s="12" t="n"/>
      <c r="E881" s="10">
        <f>Precos!J881</f>
        <v/>
      </c>
      <c r="F881" s="12" t="n"/>
    </row>
    <row r="882">
      <c r="A882" s="9">
        <f>Precos!A882</f>
        <v/>
      </c>
      <c r="B882" s="10">
        <f>INDEX(Precos!$B882:$I882,MATCH(Premissas!$B$8,Precos!$B$3:$I$3,0))</f>
        <v/>
      </c>
      <c r="C882" s="10">
        <f>IF(AND(Premissas!$B$10&gt;1,A882&lt;Premissas!$B$9),B882*Premissas!$B$10,B882)</f>
        <v/>
      </c>
      <c r="D882" s="12" t="n"/>
      <c r="E882" s="10">
        <f>Precos!J882</f>
        <v/>
      </c>
      <c r="F882" s="12" t="n"/>
    </row>
    <row r="883">
      <c r="A883" s="9">
        <f>Precos!A883</f>
        <v/>
      </c>
      <c r="B883" s="10">
        <f>INDEX(Precos!$B883:$I883,MATCH(Premissas!$B$8,Precos!$B$3:$I$3,0))</f>
        <v/>
      </c>
      <c r="C883" s="10">
        <f>IF(AND(Premissas!$B$10&gt;1,A883&lt;Premissas!$B$9),B883*Premissas!$B$10,B883)</f>
        <v/>
      </c>
      <c r="D883" s="12" t="n"/>
      <c r="E883" s="10">
        <f>Precos!J883</f>
        <v/>
      </c>
      <c r="F883" s="12" t="n"/>
    </row>
    <row r="884">
      <c r="A884" s="9">
        <f>Precos!A884</f>
        <v/>
      </c>
      <c r="B884" s="10">
        <f>INDEX(Precos!$B884:$I884,MATCH(Premissas!$B$8,Precos!$B$3:$I$3,0))</f>
        <v/>
      </c>
      <c r="C884" s="10">
        <f>IF(AND(Premissas!$B$10&gt;1,A884&lt;Premissas!$B$9),B884*Premissas!$B$10,B884)</f>
        <v/>
      </c>
      <c r="D884" s="12" t="n"/>
      <c r="E884" s="10">
        <f>Precos!J884</f>
        <v/>
      </c>
      <c r="F884" s="12" t="n"/>
    </row>
    <row r="885">
      <c r="A885" s="9">
        <f>Precos!A885</f>
        <v/>
      </c>
      <c r="B885" s="10">
        <f>INDEX(Precos!$B885:$I885,MATCH(Premissas!$B$8,Precos!$B$3:$I$3,0))</f>
        <v/>
      </c>
      <c r="C885" s="10">
        <f>IF(AND(Premissas!$B$10&gt;1,A885&lt;Premissas!$B$9),B885*Premissas!$B$10,B885)</f>
        <v/>
      </c>
      <c r="D885" s="12" t="n"/>
      <c r="E885" s="10">
        <f>Precos!J885</f>
        <v/>
      </c>
      <c r="F885" s="12" t="n"/>
    </row>
    <row r="886">
      <c r="A886" s="9">
        <f>Precos!A886</f>
        <v/>
      </c>
      <c r="B886" s="10">
        <f>INDEX(Precos!$B886:$I886,MATCH(Premissas!$B$8,Precos!$B$3:$I$3,0))</f>
        <v/>
      </c>
      <c r="C886" s="10">
        <f>IF(AND(Premissas!$B$10&gt;1,A886&lt;Premissas!$B$9),B886*Premissas!$B$10,B886)</f>
        <v/>
      </c>
      <c r="D886" s="12" t="n"/>
      <c r="E886" s="10">
        <f>Precos!J886</f>
        <v/>
      </c>
      <c r="F886" s="12" t="n"/>
    </row>
    <row r="887">
      <c r="A887" s="9">
        <f>Precos!A887</f>
        <v/>
      </c>
      <c r="B887" s="10">
        <f>INDEX(Precos!$B887:$I887,MATCH(Premissas!$B$8,Precos!$B$3:$I$3,0))</f>
        <v/>
      </c>
      <c r="C887" s="10">
        <f>IF(AND(Premissas!$B$10&gt;1,A887&lt;Premissas!$B$9),B887*Premissas!$B$10,B887)</f>
        <v/>
      </c>
      <c r="D887" s="12" t="n"/>
      <c r="E887" s="10">
        <f>Precos!J887</f>
        <v/>
      </c>
      <c r="F887" s="12" t="n"/>
    </row>
    <row r="888">
      <c r="A888" s="9">
        <f>Precos!A888</f>
        <v/>
      </c>
      <c r="B888" s="10">
        <f>INDEX(Precos!$B888:$I888,MATCH(Premissas!$B$8,Precos!$B$3:$I$3,0))</f>
        <v/>
      </c>
      <c r="C888" s="10">
        <f>IF(AND(Premissas!$B$10&gt;1,A888&lt;Premissas!$B$9),B888*Premissas!$B$10,B888)</f>
        <v/>
      </c>
      <c r="D888" s="12" t="n"/>
      <c r="E888" s="10">
        <f>Precos!J888</f>
        <v/>
      </c>
      <c r="F888" s="12" t="n"/>
    </row>
    <row r="889">
      <c r="A889" s="9">
        <f>Precos!A889</f>
        <v/>
      </c>
      <c r="B889" s="10">
        <f>INDEX(Precos!$B889:$I889,MATCH(Premissas!$B$8,Precos!$B$3:$I$3,0))</f>
        <v/>
      </c>
      <c r="C889" s="10">
        <f>IF(AND(Premissas!$B$10&gt;1,A889&lt;Premissas!$B$9),B889*Premissas!$B$10,B889)</f>
        <v/>
      </c>
      <c r="D889" s="12" t="n"/>
      <c r="E889" s="10">
        <f>Precos!J889</f>
        <v/>
      </c>
      <c r="F889" s="12" t="n"/>
    </row>
    <row r="890">
      <c r="A890" s="9">
        <f>Precos!A890</f>
        <v/>
      </c>
      <c r="B890" s="10">
        <f>INDEX(Precos!$B890:$I890,MATCH(Premissas!$B$8,Precos!$B$3:$I$3,0))</f>
        <v/>
      </c>
      <c r="C890" s="10">
        <f>IF(AND(Premissas!$B$10&gt;1,A890&lt;Premissas!$B$9),B890*Premissas!$B$10,B890)</f>
        <v/>
      </c>
      <c r="D890" s="12" t="n"/>
      <c r="E890" s="10">
        <f>Precos!J890</f>
        <v/>
      </c>
      <c r="F890" s="12" t="n"/>
    </row>
    <row r="891">
      <c r="A891" s="9">
        <f>Precos!A891</f>
        <v/>
      </c>
      <c r="B891" s="10">
        <f>INDEX(Precos!$B891:$I891,MATCH(Premissas!$B$8,Precos!$B$3:$I$3,0))</f>
        <v/>
      </c>
      <c r="C891" s="10">
        <f>IF(AND(Premissas!$B$10&gt;1,A891&lt;Premissas!$B$9),B891*Premissas!$B$10,B891)</f>
        <v/>
      </c>
      <c r="D891" s="12" t="n"/>
      <c r="E891" s="10">
        <f>Precos!J891</f>
        <v/>
      </c>
      <c r="F891" s="12" t="n"/>
    </row>
    <row r="892">
      <c r="A892" s="9">
        <f>Precos!A892</f>
        <v/>
      </c>
      <c r="B892" s="10">
        <f>INDEX(Precos!$B892:$I892,MATCH(Premissas!$B$8,Precos!$B$3:$I$3,0))</f>
        <v/>
      </c>
      <c r="C892" s="10">
        <f>IF(AND(Premissas!$B$10&gt;1,A892&lt;Premissas!$B$9),B892*Premissas!$B$10,B892)</f>
        <v/>
      </c>
      <c r="D892" s="12" t="n"/>
      <c r="E892" s="10">
        <f>Precos!J892</f>
        <v/>
      </c>
      <c r="F892" s="12" t="n"/>
    </row>
    <row r="893">
      <c r="A893" s="9">
        <f>Precos!A893</f>
        <v/>
      </c>
      <c r="B893" s="10">
        <f>INDEX(Precos!$B893:$I893,MATCH(Premissas!$B$8,Precos!$B$3:$I$3,0))</f>
        <v/>
      </c>
      <c r="C893" s="10">
        <f>IF(AND(Premissas!$B$10&gt;1,A893&lt;Premissas!$B$9),B893*Premissas!$B$10,B893)</f>
        <v/>
      </c>
      <c r="D893" s="12" t="n"/>
      <c r="E893" s="10">
        <f>Precos!J893</f>
        <v/>
      </c>
      <c r="F893" s="12" t="n"/>
    </row>
    <row r="894">
      <c r="A894" s="9">
        <f>Precos!A894</f>
        <v/>
      </c>
      <c r="B894" s="10">
        <f>INDEX(Precos!$B894:$I894,MATCH(Premissas!$B$8,Precos!$B$3:$I$3,0))</f>
        <v/>
      </c>
      <c r="C894" s="10">
        <f>IF(AND(Premissas!$B$10&gt;1,A894&lt;Premissas!$B$9),B894*Premissas!$B$10,B894)</f>
        <v/>
      </c>
      <c r="D894" s="12" t="n"/>
      <c r="E894" s="10">
        <f>Precos!J894</f>
        <v/>
      </c>
      <c r="F894" s="12" t="n"/>
    </row>
    <row r="895">
      <c r="A895" s="9">
        <f>Precos!A895</f>
        <v/>
      </c>
      <c r="B895" s="10">
        <f>INDEX(Precos!$B895:$I895,MATCH(Premissas!$B$8,Precos!$B$3:$I$3,0))</f>
        <v/>
      </c>
      <c r="C895" s="10">
        <f>IF(AND(Premissas!$B$10&gt;1,A895&lt;Premissas!$B$9),B895*Premissas!$B$10,B895)</f>
        <v/>
      </c>
      <c r="D895" s="12" t="n"/>
      <c r="E895" s="10">
        <f>Precos!J895</f>
        <v/>
      </c>
      <c r="F895" s="12" t="n"/>
    </row>
    <row r="896">
      <c r="A896" s="9">
        <f>Precos!A896</f>
        <v/>
      </c>
      <c r="B896" s="10">
        <f>INDEX(Precos!$B896:$I896,MATCH(Premissas!$B$8,Precos!$B$3:$I$3,0))</f>
        <v/>
      </c>
      <c r="C896" s="10">
        <f>IF(AND(Premissas!$B$10&gt;1,A896&lt;Premissas!$B$9),B896*Premissas!$B$10,B896)</f>
        <v/>
      </c>
      <c r="D896" s="12" t="n"/>
      <c r="E896" s="10">
        <f>Precos!J896</f>
        <v/>
      </c>
      <c r="F896" s="12" t="n"/>
    </row>
    <row r="897">
      <c r="A897" s="9">
        <f>Precos!A897</f>
        <v/>
      </c>
      <c r="B897" s="10">
        <f>INDEX(Precos!$B897:$I897,MATCH(Premissas!$B$8,Precos!$B$3:$I$3,0))</f>
        <v/>
      </c>
      <c r="C897" s="10">
        <f>IF(AND(Premissas!$B$10&gt;1,A897&lt;Premissas!$B$9),B897*Premissas!$B$10,B897)</f>
        <v/>
      </c>
      <c r="D897" s="12" t="n"/>
      <c r="E897" s="10">
        <f>Precos!J897</f>
        <v/>
      </c>
      <c r="F897" s="12" t="n"/>
    </row>
    <row r="898">
      <c r="A898" s="9">
        <f>Precos!A898</f>
        <v/>
      </c>
      <c r="B898" s="10">
        <f>INDEX(Precos!$B898:$I898,MATCH(Premissas!$B$8,Precos!$B$3:$I$3,0))</f>
        <v/>
      </c>
      <c r="C898" s="10">
        <f>IF(AND(Premissas!$B$10&gt;1,A898&lt;Premissas!$B$9),B898*Premissas!$B$10,B898)</f>
        <v/>
      </c>
      <c r="D898" s="12" t="n"/>
      <c r="E898" s="10">
        <f>Precos!J898</f>
        <v/>
      </c>
      <c r="F898" s="12" t="n"/>
    </row>
    <row r="899">
      <c r="A899" s="9">
        <f>Precos!A899</f>
        <v/>
      </c>
      <c r="B899" s="10">
        <f>INDEX(Precos!$B899:$I899,MATCH(Premissas!$B$8,Precos!$B$3:$I$3,0))</f>
        <v/>
      </c>
      <c r="C899" s="10">
        <f>IF(AND(Premissas!$B$10&gt;1,A899&lt;Premissas!$B$9),B899*Premissas!$B$10,B899)</f>
        <v/>
      </c>
      <c r="D899" s="12" t="n"/>
      <c r="E899" s="10">
        <f>Precos!J899</f>
        <v/>
      </c>
      <c r="F899" s="12" t="n"/>
    </row>
    <row r="900">
      <c r="A900" s="9">
        <f>Precos!A900</f>
        <v/>
      </c>
      <c r="B900" s="10">
        <f>INDEX(Precos!$B900:$I900,MATCH(Premissas!$B$8,Precos!$B$3:$I$3,0))</f>
        <v/>
      </c>
      <c r="C900" s="10">
        <f>IF(AND(Premissas!$B$10&gt;1,A900&lt;Premissas!$B$9),B900*Premissas!$B$10,B900)</f>
        <v/>
      </c>
      <c r="D900" s="12" t="n"/>
      <c r="E900" s="10">
        <f>Precos!J900</f>
        <v/>
      </c>
      <c r="F900" s="12" t="n"/>
    </row>
    <row r="901">
      <c r="A901" s="9">
        <f>Precos!A901</f>
        <v/>
      </c>
      <c r="B901" s="10">
        <f>INDEX(Precos!$B901:$I901,MATCH(Premissas!$B$8,Precos!$B$3:$I$3,0))</f>
        <v/>
      </c>
      <c r="C901" s="10">
        <f>IF(AND(Premissas!$B$10&gt;1,A901&lt;Premissas!$B$9),B901*Premissas!$B$10,B901)</f>
        <v/>
      </c>
      <c r="D901" s="12" t="n"/>
      <c r="E901" s="10">
        <f>Precos!J901</f>
        <v/>
      </c>
      <c r="F901" s="12" t="n"/>
    </row>
    <row r="902">
      <c r="A902" s="9">
        <f>Precos!A902</f>
        <v/>
      </c>
      <c r="B902" s="10">
        <f>INDEX(Precos!$B902:$I902,MATCH(Premissas!$B$8,Precos!$B$3:$I$3,0))</f>
        <v/>
      </c>
      <c r="C902" s="10">
        <f>IF(AND(Premissas!$B$10&gt;1,A902&lt;Premissas!$B$9),B902*Premissas!$B$10,B902)</f>
        <v/>
      </c>
      <c r="D902" s="12" t="n"/>
      <c r="E902" s="10">
        <f>Precos!J902</f>
        <v/>
      </c>
      <c r="F902" s="12" t="n"/>
    </row>
    <row r="903">
      <c r="A903" s="9">
        <f>Precos!A903</f>
        <v/>
      </c>
      <c r="B903" s="10">
        <f>INDEX(Precos!$B903:$I903,MATCH(Premissas!$B$8,Precos!$B$3:$I$3,0))</f>
        <v/>
      </c>
      <c r="C903" s="10">
        <f>IF(AND(Premissas!$B$10&gt;1,A903&lt;Premissas!$B$9),B903*Premissas!$B$10,B903)</f>
        <v/>
      </c>
      <c r="D903" s="12" t="n"/>
      <c r="E903" s="10">
        <f>Precos!J903</f>
        <v/>
      </c>
      <c r="F903" s="12" t="n"/>
    </row>
    <row r="904">
      <c r="A904" s="9">
        <f>Precos!A904</f>
        <v/>
      </c>
      <c r="B904" s="10">
        <f>INDEX(Precos!$B904:$I904,MATCH(Premissas!$B$8,Precos!$B$3:$I$3,0))</f>
        <v/>
      </c>
      <c r="C904" s="10">
        <f>IF(AND(Premissas!$B$10&gt;1,A904&lt;Premissas!$B$9),B904*Premissas!$B$10,B904)</f>
        <v/>
      </c>
      <c r="D904" s="12" t="n"/>
      <c r="E904" s="10">
        <f>Precos!J904</f>
        <v/>
      </c>
      <c r="F904" s="12" t="n"/>
    </row>
    <row r="905">
      <c r="A905" s="9">
        <f>Precos!A905</f>
        <v/>
      </c>
      <c r="B905" s="10">
        <f>INDEX(Precos!$B905:$I905,MATCH(Premissas!$B$8,Precos!$B$3:$I$3,0))</f>
        <v/>
      </c>
      <c r="C905" s="10">
        <f>IF(AND(Premissas!$B$10&gt;1,A905&lt;Premissas!$B$9),B905*Premissas!$B$10,B905)</f>
        <v/>
      </c>
      <c r="D905" s="12" t="n"/>
      <c r="E905" s="10">
        <f>Precos!J905</f>
        <v/>
      </c>
      <c r="F905" s="12" t="n"/>
    </row>
    <row r="906">
      <c r="A906" s="9">
        <f>Precos!A906</f>
        <v/>
      </c>
      <c r="B906" s="10">
        <f>INDEX(Precos!$B906:$I906,MATCH(Premissas!$B$8,Precos!$B$3:$I$3,0))</f>
        <v/>
      </c>
      <c r="C906" s="10">
        <f>IF(AND(Premissas!$B$10&gt;1,A906&lt;Premissas!$B$9),B906*Premissas!$B$10,B906)</f>
        <v/>
      </c>
      <c r="D906" s="12" t="n"/>
      <c r="E906" s="10">
        <f>Precos!J906</f>
        <v/>
      </c>
      <c r="F906" s="12" t="n"/>
    </row>
    <row r="907">
      <c r="A907" s="9">
        <f>Precos!A907</f>
        <v/>
      </c>
      <c r="B907" s="10">
        <f>INDEX(Precos!$B907:$I907,MATCH(Premissas!$B$8,Precos!$B$3:$I$3,0))</f>
        <v/>
      </c>
      <c r="C907" s="10">
        <f>IF(AND(Premissas!$B$10&gt;1,A907&lt;Premissas!$B$9),B907*Premissas!$B$10,B907)</f>
        <v/>
      </c>
      <c r="D907" s="12" t="n"/>
      <c r="E907" s="10">
        <f>Precos!J907</f>
        <v/>
      </c>
      <c r="F907" s="12" t="n"/>
    </row>
    <row r="908">
      <c r="A908" s="9">
        <f>Precos!A908</f>
        <v/>
      </c>
      <c r="B908" s="10">
        <f>INDEX(Precos!$B908:$I908,MATCH(Premissas!$B$8,Precos!$B$3:$I$3,0))</f>
        <v/>
      </c>
      <c r="C908" s="10">
        <f>IF(AND(Premissas!$B$10&gt;1,A908&lt;Premissas!$B$9),B908*Premissas!$B$10,B908)</f>
        <v/>
      </c>
      <c r="D908" s="12" t="n"/>
      <c r="E908" s="10">
        <f>Precos!J908</f>
        <v/>
      </c>
      <c r="F908" s="12" t="n"/>
    </row>
    <row r="909">
      <c r="A909" s="9">
        <f>Precos!A909</f>
        <v/>
      </c>
      <c r="B909" s="10">
        <f>INDEX(Precos!$B909:$I909,MATCH(Premissas!$B$8,Precos!$B$3:$I$3,0))</f>
        <v/>
      </c>
      <c r="C909" s="10">
        <f>IF(AND(Premissas!$B$10&gt;1,A909&lt;Premissas!$B$9),B909*Premissas!$B$10,B909)</f>
        <v/>
      </c>
      <c r="D909" s="12" t="n"/>
      <c r="E909" s="10">
        <f>Precos!J909</f>
        <v/>
      </c>
      <c r="F909" s="12" t="n"/>
    </row>
    <row r="910">
      <c r="A910" s="9">
        <f>Precos!A910</f>
        <v/>
      </c>
      <c r="B910" s="10">
        <f>INDEX(Precos!$B910:$I910,MATCH(Premissas!$B$8,Precos!$B$3:$I$3,0))</f>
        <v/>
      </c>
      <c r="C910" s="10">
        <f>IF(AND(Premissas!$B$10&gt;1,A910&lt;Premissas!$B$9),B910*Premissas!$B$10,B910)</f>
        <v/>
      </c>
      <c r="D910" s="12" t="n"/>
      <c r="E910" s="10">
        <f>Precos!J910</f>
        <v/>
      </c>
      <c r="F910" s="12" t="n"/>
    </row>
    <row r="911">
      <c r="A911" s="9">
        <f>Precos!A911</f>
        <v/>
      </c>
      <c r="B911" s="10">
        <f>INDEX(Precos!$B911:$I911,MATCH(Premissas!$B$8,Precos!$B$3:$I$3,0))</f>
        <v/>
      </c>
      <c r="C911" s="10">
        <f>IF(AND(Premissas!$B$10&gt;1,A911&lt;Premissas!$B$9),B911*Premissas!$B$10,B911)</f>
        <v/>
      </c>
      <c r="D911" s="12" t="n"/>
      <c r="E911" s="10">
        <f>Precos!J911</f>
        <v/>
      </c>
      <c r="F911" s="12" t="n"/>
    </row>
    <row r="912">
      <c r="A912" s="9">
        <f>Precos!A912</f>
        <v/>
      </c>
      <c r="B912" s="10">
        <f>INDEX(Precos!$B912:$I912,MATCH(Premissas!$B$8,Precos!$B$3:$I$3,0))</f>
        <v/>
      </c>
      <c r="C912" s="10">
        <f>IF(AND(Premissas!$B$10&gt;1,A912&lt;Premissas!$B$9),B912*Premissas!$B$10,B912)</f>
        <v/>
      </c>
      <c r="D912" s="12" t="n"/>
      <c r="E912" s="10">
        <f>Precos!J912</f>
        <v/>
      </c>
      <c r="F912" s="12" t="n"/>
    </row>
    <row r="913">
      <c r="A913" s="9">
        <f>Precos!A913</f>
        <v/>
      </c>
      <c r="B913" s="10">
        <f>INDEX(Precos!$B913:$I913,MATCH(Premissas!$B$8,Precos!$B$3:$I$3,0))</f>
        <v/>
      </c>
      <c r="C913" s="10">
        <f>IF(AND(Premissas!$B$10&gt;1,A913&lt;Premissas!$B$9),B913*Premissas!$B$10,B913)</f>
        <v/>
      </c>
      <c r="D913" s="12" t="n"/>
      <c r="E913" s="10">
        <f>Precos!J913</f>
        <v/>
      </c>
      <c r="F913" s="12" t="n"/>
    </row>
    <row r="914">
      <c r="A914" s="9">
        <f>Precos!A914</f>
        <v/>
      </c>
      <c r="B914" s="10">
        <f>INDEX(Precos!$B914:$I914,MATCH(Premissas!$B$8,Precos!$B$3:$I$3,0))</f>
        <v/>
      </c>
      <c r="C914" s="10">
        <f>IF(AND(Premissas!$B$10&gt;1,A914&lt;Premissas!$B$9),B914*Premissas!$B$10,B914)</f>
        <v/>
      </c>
      <c r="D914" s="12" t="n"/>
      <c r="E914" s="10">
        <f>Precos!J914</f>
        <v/>
      </c>
      <c r="F914" s="12" t="n"/>
    </row>
    <row r="915">
      <c r="A915" s="9">
        <f>Precos!A915</f>
        <v/>
      </c>
      <c r="B915" s="10">
        <f>INDEX(Precos!$B915:$I915,MATCH(Premissas!$B$8,Precos!$B$3:$I$3,0))</f>
        <v/>
      </c>
      <c r="C915" s="10">
        <f>IF(AND(Premissas!$B$10&gt;1,A915&lt;Premissas!$B$9),B915*Premissas!$B$10,B915)</f>
        <v/>
      </c>
      <c r="D915" s="12" t="n"/>
      <c r="E915" s="10">
        <f>Precos!J915</f>
        <v/>
      </c>
      <c r="F915" s="12" t="n"/>
    </row>
    <row r="916">
      <c r="A916" s="9">
        <f>Precos!A916</f>
        <v/>
      </c>
      <c r="B916" s="10">
        <f>INDEX(Precos!$B916:$I916,MATCH(Premissas!$B$8,Precos!$B$3:$I$3,0))</f>
        <v/>
      </c>
      <c r="C916" s="10">
        <f>IF(AND(Premissas!$B$10&gt;1,A916&lt;Premissas!$B$9),B916*Premissas!$B$10,B916)</f>
        <v/>
      </c>
      <c r="D916" s="12" t="n"/>
      <c r="E916" s="10">
        <f>Precos!J916</f>
        <v/>
      </c>
      <c r="F916" s="12" t="n"/>
    </row>
    <row r="917">
      <c r="A917" s="9">
        <f>Precos!A917</f>
        <v/>
      </c>
      <c r="B917" s="10">
        <f>INDEX(Precos!$B917:$I917,MATCH(Premissas!$B$8,Precos!$B$3:$I$3,0))</f>
        <v/>
      </c>
      <c r="C917" s="10">
        <f>IF(AND(Premissas!$B$10&gt;1,A917&lt;Premissas!$B$9),B917*Premissas!$B$10,B917)</f>
        <v/>
      </c>
      <c r="D917" s="12" t="n"/>
      <c r="E917" s="10">
        <f>Precos!J917</f>
        <v/>
      </c>
      <c r="F917" s="12" t="n"/>
    </row>
    <row r="918">
      <c r="A918" s="9">
        <f>Precos!A918</f>
        <v/>
      </c>
      <c r="B918" s="10">
        <f>INDEX(Precos!$B918:$I918,MATCH(Premissas!$B$8,Precos!$B$3:$I$3,0))</f>
        <v/>
      </c>
      <c r="C918" s="10">
        <f>IF(AND(Premissas!$B$10&gt;1,A918&lt;Premissas!$B$9),B918*Premissas!$B$10,B918)</f>
        <v/>
      </c>
      <c r="D918" s="12" t="n"/>
      <c r="E918" s="10">
        <f>Precos!J918</f>
        <v/>
      </c>
      <c r="F918" s="12" t="n"/>
    </row>
    <row r="919">
      <c r="A919" s="9">
        <f>Precos!A919</f>
        <v/>
      </c>
      <c r="B919" s="10">
        <f>INDEX(Precos!$B919:$I919,MATCH(Premissas!$B$8,Precos!$B$3:$I$3,0))</f>
        <v/>
      </c>
      <c r="C919" s="10">
        <f>IF(AND(Premissas!$B$10&gt;1,A919&lt;Premissas!$B$9),B919*Premissas!$B$10,B919)</f>
        <v/>
      </c>
      <c r="D919" s="12" t="n"/>
      <c r="E919" s="10">
        <f>Precos!J919</f>
        <v/>
      </c>
      <c r="F919" s="12" t="n"/>
    </row>
    <row r="920">
      <c r="A920" s="9">
        <f>Precos!A920</f>
        <v/>
      </c>
      <c r="B920" s="10">
        <f>INDEX(Precos!$B920:$I920,MATCH(Premissas!$B$8,Precos!$B$3:$I$3,0))</f>
        <v/>
      </c>
      <c r="C920" s="10">
        <f>IF(AND(Premissas!$B$10&gt;1,A920&lt;Premissas!$B$9),B920*Premissas!$B$10,B920)</f>
        <v/>
      </c>
      <c r="D920" s="12" t="n"/>
      <c r="E920" s="10">
        <f>Precos!J920</f>
        <v/>
      </c>
      <c r="F920" s="12" t="n"/>
    </row>
    <row r="921">
      <c r="A921" s="9">
        <f>Precos!A921</f>
        <v/>
      </c>
      <c r="B921" s="10">
        <f>INDEX(Precos!$B921:$I921,MATCH(Premissas!$B$8,Precos!$B$3:$I$3,0))</f>
        <v/>
      </c>
      <c r="C921" s="10">
        <f>IF(AND(Premissas!$B$10&gt;1,A921&lt;Premissas!$B$9),B921*Premissas!$B$10,B921)</f>
        <v/>
      </c>
      <c r="D921" s="12" t="n"/>
      <c r="E921" s="10">
        <f>Precos!J921</f>
        <v/>
      </c>
      <c r="F921" s="12" t="n"/>
    </row>
    <row r="922">
      <c r="A922" s="9">
        <f>Precos!A922</f>
        <v/>
      </c>
      <c r="B922" s="10">
        <f>INDEX(Precos!$B922:$I922,MATCH(Premissas!$B$8,Precos!$B$3:$I$3,0))</f>
        <v/>
      </c>
      <c r="C922" s="10">
        <f>IF(AND(Premissas!$B$10&gt;1,A922&lt;Premissas!$B$9),B922*Premissas!$B$10,B922)</f>
        <v/>
      </c>
      <c r="D922" s="12" t="n"/>
      <c r="E922" s="10">
        <f>Precos!J922</f>
        <v/>
      </c>
      <c r="F922" s="12" t="n"/>
    </row>
    <row r="923">
      <c r="A923" s="9">
        <f>Precos!A923</f>
        <v/>
      </c>
      <c r="B923" s="10">
        <f>INDEX(Precos!$B923:$I923,MATCH(Premissas!$B$8,Precos!$B$3:$I$3,0))</f>
        <v/>
      </c>
      <c r="C923" s="10">
        <f>IF(AND(Premissas!$B$10&gt;1,A923&lt;Premissas!$B$9),B923*Premissas!$B$10,B923)</f>
        <v/>
      </c>
      <c r="D923" s="12" t="n"/>
      <c r="E923" s="10">
        <f>Precos!J923</f>
        <v/>
      </c>
      <c r="F923" s="12" t="n"/>
    </row>
    <row r="924">
      <c r="A924" s="9">
        <f>Precos!A924</f>
        <v/>
      </c>
      <c r="B924" s="10">
        <f>INDEX(Precos!$B924:$I924,MATCH(Premissas!$B$8,Precos!$B$3:$I$3,0))</f>
        <v/>
      </c>
      <c r="C924" s="10">
        <f>IF(AND(Premissas!$B$10&gt;1,A924&lt;Premissas!$B$9),B924*Premissas!$B$10,B924)</f>
        <v/>
      </c>
      <c r="D924" s="12" t="n"/>
      <c r="E924" s="10">
        <f>Precos!J924</f>
        <v/>
      </c>
      <c r="F924" s="12" t="n"/>
    </row>
    <row r="925">
      <c r="A925" s="9">
        <f>Precos!A925</f>
        <v/>
      </c>
      <c r="B925" s="10">
        <f>INDEX(Precos!$B925:$I925,MATCH(Premissas!$B$8,Precos!$B$3:$I$3,0))</f>
        <v/>
      </c>
      <c r="C925" s="10">
        <f>IF(AND(Premissas!$B$10&gt;1,A925&lt;Premissas!$B$9),B925*Premissas!$B$10,B925)</f>
        <v/>
      </c>
      <c r="D925" s="12" t="n"/>
      <c r="E925" s="10">
        <f>Precos!J925</f>
        <v/>
      </c>
      <c r="F925" s="12" t="n"/>
    </row>
    <row r="926">
      <c r="A926" s="9">
        <f>Precos!A926</f>
        <v/>
      </c>
      <c r="B926" s="10">
        <f>INDEX(Precos!$B926:$I926,MATCH(Premissas!$B$8,Precos!$B$3:$I$3,0))</f>
        <v/>
      </c>
      <c r="C926" s="10">
        <f>IF(AND(Premissas!$B$10&gt;1,A926&lt;Premissas!$B$9),B926*Premissas!$B$10,B926)</f>
        <v/>
      </c>
      <c r="D926" s="12" t="n"/>
      <c r="E926" s="10">
        <f>Precos!J926</f>
        <v/>
      </c>
      <c r="F926" s="12" t="n"/>
    </row>
    <row r="927">
      <c r="A927" s="9">
        <f>Precos!A927</f>
        <v/>
      </c>
      <c r="B927" s="10">
        <f>INDEX(Precos!$B927:$I927,MATCH(Premissas!$B$8,Precos!$B$3:$I$3,0))</f>
        <v/>
      </c>
      <c r="C927" s="10">
        <f>IF(AND(Premissas!$B$10&gt;1,A927&lt;Premissas!$B$9),B927*Premissas!$B$10,B927)</f>
        <v/>
      </c>
      <c r="D927" s="12" t="n"/>
      <c r="E927" s="10">
        <f>Precos!J927</f>
        <v/>
      </c>
      <c r="F927" s="12" t="n"/>
    </row>
    <row r="928">
      <c r="A928" s="9">
        <f>Precos!A928</f>
        <v/>
      </c>
      <c r="B928" s="10">
        <f>INDEX(Precos!$B928:$I928,MATCH(Premissas!$B$8,Precos!$B$3:$I$3,0))</f>
        <v/>
      </c>
      <c r="C928" s="10">
        <f>IF(AND(Premissas!$B$10&gt;1,A928&lt;Premissas!$B$9),B928*Premissas!$B$10,B928)</f>
        <v/>
      </c>
      <c r="D928" s="12" t="n"/>
      <c r="E928" s="10">
        <f>Precos!J928</f>
        <v/>
      </c>
      <c r="F928" s="12" t="n"/>
    </row>
    <row r="929">
      <c r="A929" s="9">
        <f>Precos!A929</f>
        <v/>
      </c>
      <c r="B929" s="10">
        <f>INDEX(Precos!$B929:$I929,MATCH(Premissas!$B$8,Precos!$B$3:$I$3,0))</f>
        <v/>
      </c>
      <c r="C929" s="10">
        <f>IF(AND(Premissas!$B$10&gt;1,A929&lt;Premissas!$B$9),B929*Premissas!$B$10,B929)</f>
        <v/>
      </c>
      <c r="D929" s="12" t="n"/>
      <c r="E929" s="10">
        <f>Precos!J929</f>
        <v/>
      </c>
      <c r="F929" s="12" t="n"/>
    </row>
    <row r="930">
      <c r="A930" s="9">
        <f>Precos!A930</f>
        <v/>
      </c>
      <c r="B930" s="10">
        <f>INDEX(Precos!$B930:$I930,MATCH(Premissas!$B$8,Precos!$B$3:$I$3,0))</f>
        <v/>
      </c>
      <c r="C930" s="10">
        <f>IF(AND(Premissas!$B$10&gt;1,A930&lt;Premissas!$B$9),B930*Premissas!$B$10,B930)</f>
        <v/>
      </c>
      <c r="D930" s="12" t="n"/>
      <c r="E930" s="10">
        <f>Precos!J930</f>
        <v/>
      </c>
      <c r="F930" s="12" t="n"/>
    </row>
    <row r="931">
      <c r="A931" s="9">
        <f>Precos!A931</f>
        <v/>
      </c>
      <c r="B931" s="10">
        <f>INDEX(Precos!$B931:$I931,MATCH(Premissas!$B$8,Precos!$B$3:$I$3,0))</f>
        <v/>
      </c>
      <c r="C931" s="10">
        <f>IF(AND(Premissas!$B$10&gt;1,A931&lt;Premissas!$B$9),B931*Premissas!$B$10,B931)</f>
        <v/>
      </c>
      <c r="D931" s="12" t="n"/>
      <c r="E931" s="10">
        <f>Precos!J931</f>
        <v/>
      </c>
      <c r="F931" s="12" t="n"/>
    </row>
    <row r="932">
      <c r="A932" s="9">
        <f>Precos!A932</f>
        <v/>
      </c>
      <c r="B932" s="10">
        <f>INDEX(Precos!$B932:$I932,MATCH(Premissas!$B$8,Precos!$B$3:$I$3,0))</f>
        <v/>
      </c>
      <c r="C932" s="10">
        <f>IF(AND(Premissas!$B$10&gt;1,A932&lt;Premissas!$B$9),B932*Premissas!$B$10,B932)</f>
        <v/>
      </c>
      <c r="D932" s="12" t="n"/>
      <c r="E932" s="10">
        <f>Precos!J932</f>
        <v/>
      </c>
      <c r="F932" s="12" t="n"/>
    </row>
    <row r="933">
      <c r="A933" s="9">
        <f>Precos!A933</f>
        <v/>
      </c>
      <c r="B933" s="10">
        <f>INDEX(Precos!$B933:$I933,MATCH(Premissas!$B$8,Precos!$B$3:$I$3,0))</f>
        <v/>
      </c>
      <c r="C933" s="10">
        <f>IF(AND(Premissas!$B$10&gt;1,A933&lt;Premissas!$B$9),B933*Premissas!$B$10,B933)</f>
        <v/>
      </c>
      <c r="D933" s="12" t="n"/>
      <c r="E933" s="10">
        <f>Precos!J933</f>
        <v/>
      </c>
      <c r="F933" s="12" t="n"/>
    </row>
    <row r="934">
      <c r="A934" s="9">
        <f>Precos!A934</f>
        <v/>
      </c>
      <c r="B934" s="10">
        <f>INDEX(Precos!$B934:$I934,MATCH(Premissas!$B$8,Precos!$B$3:$I$3,0))</f>
        <v/>
      </c>
      <c r="C934" s="10">
        <f>IF(AND(Premissas!$B$10&gt;1,A934&lt;Premissas!$B$9),B934*Premissas!$B$10,B934)</f>
        <v/>
      </c>
      <c r="D934" s="12" t="n"/>
      <c r="E934" s="10">
        <f>Precos!J934</f>
        <v/>
      </c>
      <c r="F934" s="12" t="n"/>
    </row>
    <row r="935">
      <c r="A935" s="9">
        <f>Precos!A935</f>
        <v/>
      </c>
      <c r="B935" s="10">
        <f>INDEX(Precos!$B935:$I935,MATCH(Premissas!$B$8,Precos!$B$3:$I$3,0))</f>
        <v/>
      </c>
      <c r="C935" s="10">
        <f>IF(AND(Premissas!$B$10&gt;1,A935&lt;Premissas!$B$9),B935*Premissas!$B$10,B935)</f>
        <v/>
      </c>
      <c r="D935" s="12" t="n"/>
      <c r="E935" s="10">
        <f>Precos!J935</f>
        <v/>
      </c>
      <c r="F935" s="12" t="n"/>
    </row>
    <row r="936">
      <c r="A936" s="9">
        <f>Precos!A936</f>
        <v/>
      </c>
      <c r="B936" s="10">
        <f>INDEX(Precos!$B936:$I936,MATCH(Premissas!$B$8,Precos!$B$3:$I$3,0))</f>
        <v/>
      </c>
      <c r="C936" s="10">
        <f>IF(AND(Premissas!$B$10&gt;1,A936&lt;Premissas!$B$9),B936*Premissas!$B$10,B936)</f>
        <v/>
      </c>
      <c r="D936" s="12" t="n"/>
      <c r="E936" s="10">
        <f>Precos!J936</f>
        <v/>
      </c>
      <c r="F936" s="12" t="n"/>
    </row>
    <row r="937">
      <c r="A937" s="9">
        <f>Precos!A937</f>
        <v/>
      </c>
      <c r="B937" s="10">
        <f>INDEX(Precos!$B937:$I937,MATCH(Premissas!$B$8,Precos!$B$3:$I$3,0))</f>
        <v/>
      </c>
      <c r="C937" s="10">
        <f>IF(AND(Premissas!$B$10&gt;1,A937&lt;Premissas!$B$9),B937*Premissas!$B$10,B937)</f>
        <v/>
      </c>
      <c r="D937" s="12" t="n"/>
      <c r="E937" s="10">
        <f>Precos!J937</f>
        <v/>
      </c>
      <c r="F937" s="12" t="n"/>
    </row>
    <row r="938">
      <c r="A938" s="9">
        <f>Precos!A938</f>
        <v/>
      </c>
      <c r="B938" s="10">
        <f>INDEX(Precos!$B938:$I938,MATCH(Premissas!$B$8,Precos!$B$3:$I$3,0))</f>
        <v/>
      </c>
      <c r="C938" s="10">
        <f>IF(AND(Premissas!$B$10&gt;1,A938&lt;Premissas!$B$9),B938*Premissas!$B$10,B938)</f>
        <v/>
      </c>
      <c r="D938" s="12" t="n"/>
      <c r="E938" s="10">
        <f>Precos!J938</f>
        <v/>
      </c>
      <c r="F938" s="12" t="n"/>
    </row>
    <row r="939">
      <c r="A939" s="9">
        <f>Precos!A939</f>
        <v/>
      </c>
      <c r="B939" s="10">
        <f>INDEX(Precos!$B939:$I939,MATCH(Premissas!$B$8,Precos!$B$3:$I$3,0))</f>
        <v/>
      </c>
      <c r="C939" s="10">
        <f>IF(AND(Premissas!$B$10&gt;1,A939&lt;Premissas!$B$9),B939*Premissas!$B$10,B939)</f>
        <v/>
      </c>
      <c r="D939" s="12" t="n"/>
      <c r="E939" s="10">
        <f>Precos!J939</f>
        <v/>
      </c>
      <c r="F939" s="12" t="n"/>
    </row>
    <row r="940">
      <c r="A940" s="9">
        <f>Precos!A940</f>
        <v/>
      </c>
      <c r="B940" s="10">
        <f>INDEX(Precos!$B940:$I940,MATCH(Premissas!$B$8,Precos!$B$3:$I$3,0))</f>
        <v/>
      </c>
      <c r="C940" s="10">
        <f>IF(AND(Premissas!$B$10&gt;1,A940&lt;Premissas!$B$9),B940*Premissas!$B$10,B940)</f>
        <v/>
      </c>
      <c r="D940" s="12" t="n"/>
      <c r="E940" s="10">
        <f>Precos!J940</f>
        <v/>
      </c>
      <c r="F940" s="12" t="n"/>
    </row>
    <row r="941">
      <c r="A941" s="9">
        <f>Precos!A941</f>
        <v/>
      </c>
      <c r="B941" s="10">
        <f>INDEX(Precos!$B941:$I941,MATCH(Premissas!$B$8,Precos!$B$3:$I$3,0))</f>
        <v/>
      </c>
      <c r="C941" s="10">
        <f>IF(AND(Premissas!$B$10&gt;1,A941&lt;Premissas!$B$9),B941*Premissas!$B$10,B941)</f>
        <v/>
      </c>
      <c r="D941" s="12" t="n"/>
      <c r="E941" s="10">
        <f>Precos!J941</f>
        <v/>
      </c>
      <c r="F941" s="12" t="n"/>
    </row>
    <row r="942">
      <c r="A942" s="9">
        <f>Precos!A942</f>
        <v/>
      </c>
      <c r="B942" s="10">
        <f>INDEX(Precos!$B942:$I942,MATCH(Premissas!$B$8,Precos!$B$3:$I$3,0))</f>
        <v/>
      </c>
      <c r="C942" s="10">
        <f>IF(AND(Premissas!$B$10&gt;1,A942&lt;Premissas!$B$9),B942*Premissas!$B$10,B942)</f>
        <v/>
      </c>
      <c r="D942" s="12" t="n"/>
      <c r="E942" s="10">
        <f>Precos!J942</f>
        <v/>
      </c>
      <c r="F942" s="12" t="n"/>
    </row>
    <row r="943">
      <c r="A943" s="9">
        <f>Precos!A943</f>
        <v/>
      </c>
      <c r="B943" s="10">
        <f>INDEX(Precos!$B943:$I943,MATCH(Premissas!$B$8,Precos!$B$3:$I$3,0))</f>
        <v/>
      </c>
      <c r="C943" s="10">
        <f>IF(AND(Premissas!$B$10&gt;1,A943&lt;Premissas!$B$9),B943*Premissas!$B$10,B943)</f>
        <v/>
      </c>
      <c r="D943" s="12" t="n"/>
      <c r="E943" s="10">
        <f>Precos!J943</f>
        <v/>
      </c>
      <c r="F943" s="12" t="n"/>
    </row>
    <row r="944">
      <c r="A944" s="9">
        <f>Precos!A944</f>
        <v/>
      </c>
      <c r="B944" s="10">
        <f>INDEX(Precos!$B944:$I944,MATCH(Premissas!$B$8,Precos!$B$3:$I$3,0))</f>
        <v/>
      </c>
      <c r="C944" s="10">
        <f>IF(AND(Premissas!$B$10&gt;1,A944&lt;Premissas!$B$9),B944*Premissas!$B$10,B944)</f>
        <v/>
      </c>
      <c r="D944" s="12" t="n"/>
      <c r="E944" s="10">
        <f>Precos!J944</f>
        <v/>
      </c>
      <c r="F944" s="12" t="n"/>
    </row>
    <row r="945">
      <c r="A945" s="9">
        <f>Precos!A945</f>
        <v/>
      </c>
      <c r="B945" s="10">
        <f>INDEX(Precos!$B945:$I945,MATCH(Premissas!$B$8,Precos!$B$3:$I$3,0))</f>
        <v/>
      </c>
      <c r="C945" s="10">
        <f>IF(AND(Premissas!$B$10&gt;1,A945&lt;Premissas!$B$9),B945*Premissas!$B$10,B945)</f>
        <v/>
      </c>
      <c r="D945" s="12" t="n"/>
      <c r="E945" s="10">
        <f>Precos!J945</f>
        <v/>
      </c>
      <c r="F945" s="12" t="n"/>
    </row>
    <row r="946">
      <c r="A946" s="9">
        <f>Precos!A946</f>
        <v/>
      </c>
      <c r="B946" s="10">
        <f>INDEX(Precos!$B946:$I946,MATCH(Premissas!$B$8,Precos!$B$3:$I$3,0))</f>
        <v/>
      </c>
      <c r="C946" s="10">
        <f>IF(AND(Premissas!$B$10&gt;1,A946&lt;Premissas!$B$9),B946*Premissas!$B$10,B946)</f>
        <v/>
      </c>
      <c r="D946" s="12" t="n"/>
      <c r="E946" s="10">
        <f>Precos!J946</f>
        <v/>
      </c>
      <c r="F946" s="12" t="n"/>
    </row>
    <row r="947">
      <c r="A947" s="9">
        <f>Precos!A947</f>
        <v/>
      </c>
      <c r="B947" s="10">
        <f>INDEX(Precos!$B947:$I947,MATCH(Premissas!$B$8,Precos!$B$3:$I$3,0))</f>
        <v/>
      </c>
      <c r="C947" s="10">
        <f>IF(AND(Premissas!$B$10&gt;1,A947&lt;Premissas!$B$9),B947*Premissas!$B$10,B947)</f>
        <v/>
      </c>
      <c r="D947" s="12" t="n"/>
      <c r="E947" s="10">
        <f>Precos!J947</f>
        <v/>
      </c>
      <c r="F947" s="12" t="n"/>
    </row>
    <row r="948">
      <c r="A948" s="9">
        <f>Precos!A948</f>
        <v/>
      </c>
      <c r="B948" s="10">
        <f>INDEX(Precos!$B948:$I948,MATCH(Premissas!$B$8,Precos!$B$3:$I$3,0))</f>
        <v/>
      </c>
      <c r="C948" s="10">
        <f>IF(AND(Premissas!$B$10&gt;1,A948&lt;Premissas!$B$9),B948*Premissas!$B$10,B948)</f>
        <v/>
      </c>
      <c r="D948" s="12" t="n"/>
      <c r="E948" s="10">
        <f>Precos!J948</f>
        <v/>
      </c>
      <c r="F948" s="12" t="n"/>
    </row>
    <row r="949">
      <c r="A949" s="9">
        <f>Precos!A949</f>
        <v/>
      </c>
      <c r="B949" s="10">
        <f>INDEX(Precos!$B949:$I949,MATCH(Premissas!$B$8,Precos!$B$3:$I$3,0))</f>
        <v/>
      </c>
      <c r="C949" s="10">
        <f>IF(AND(Premissas!$B$10&gt;1,A949&lt;Premissas!$B$9),B949*Premissas!$B$10,B949)</f>
        <v/>
      </c>
      <c r="D949" s="12" t="n"/>
      <c r="E949" s="10">
        <f>Precos!J949</f>
        <v/>
      </c>
      <c r="F949" s="12" t="n"/>
    </row>
    <row r="950">
      <c r="A950" s="9">
        <f>Precos!A950</f>
        <v/>
      </c>
      <c r="B950" s="10">
        <f>INDEX(Precos!$B950:$I950,MATCH(Premissas!$B$8,Precos!$B$3:$I$3,0))</f>
        <v/>
      </c>
      <c r="C950" s="10">
        <f>IF(AND(Premissas!$B$10&gt;1,A950&lt;Premissas!$B$9),B950*Premissas!$B$10,B950)</f>
        <v/>
      </c>
      <c r="D950" s="12" t="n"/>
      <c r="E950" s="10">
        <f>Precos!J950</f>
        <v/>
      </c>
      <c r="F950" s="12" t="n"/>
    </row>
    <row r="951">
      <c r="A951" s="9">
        <f>Precos!A951</f>
        <v/>
      </c>
      <c r="B951" s="10">
        <f>INDEX(Precos!$B951:$I951,MATCH(Premissas!$B$8,Precos!$B$3:$I$3,0))</f>
        <v/>
      </c>
      <c r="C951" s="10">
        <f>IF(AND(Premissas!$B$10&gt;1,A951&lt;Premissas!$B$9),B951*Premissas!$B$10,B951)</f>
        <v/>
      </c>
      <c r="D951" s="12" t="n"/>
      <c r="E951" s="10">
        <f>Precos!J951</f>
        <v/>
      </c>
      <c r="F951" s="12" t="n"/>
    </row>
    <row r="952">
      <c r="A952" s="9">
        <f>Precos!A952</f>
        <v/>
      </c>
      <c r="B952" s="10">
        <f>INDEX(Precos!$B952:$I952,MATCH(Premissas!$B$8,Precos!$B$3:$I$3,0))</f>
        <v/>
      </c>
      <c r="C952" s="10">
        <f>IF(AND(Premissas!$B$10&gt;1,A952&lt;Premissas!$B$9),B952*Premissas!$B$10,B952)</f>
        <v/>
      </c>
      <c r="D952" s="12" t="n"/>
      <c r="E952" s="10">
        <f>Precos!J952</f>
        <v/>
      </c>
      <c r="F952" s="12" t="n"/>
    </row>
    <row r="953">
      <c r="A953" s="9">
        <f>Precos!A953</f>
        <v/>
      </c>
      <c r="B953" s="10">
        <f>INDEX(Precos!$B953:$I953,MATCH(Premissas!$B$8,Precos!$B$3:$I$3,0))</f>
        <v/>
      </c>
      <c r="C953" s="10">
        <f>IF(AND(Premissas!$B$10&gt;1,A953&lt;Premissas!$B$9),B953*Premissas!$B$10,B953)</f>
        <v/>
      </c>
      <c r="D953" s="12" t="n"/>
      <c r="E953" s="10">
        <f>Precos!J953</f>
        <v/>
      </c>
      <c r="F953" s="12" t="n"/>
    </row>
    <row r="954">
      <c r="A954" s="9">
        <f>Precos!A954</f>
        <v/>
      </c>
      <c r="B954" s="10">
        <f>INDEX(Precos!$B954:$I954,MATCH(Premissas!$B$8,Precos!$B$3:$I$3,0))</f>
        <v/>
      </c>
      <c r="C954" s="10">
        <f>IF(AND(Premissas!$B$10&gt;1,A954&lt;Premissas!$B$9),B954*Premissas!$B$10,B954)</f>
        <v/>
      </c>
      <c r="D954" s="12" t="n"/>
      <c r="E954" s="10">
        <f>Precos!J954</f>
        <v/>
      </c>
      <c r="F954" s="12" t="n"/>
    </row>
    <row r="955">
      <c r="A955" s="9">
        <f>Precos!A955</f>
        <v/>
      </c>
      <c r="B955" s="10">
        <f>INDEX(Precos!$B955:$I955,MATCH(Premissas!$B$8,Precos!$B$3:$I$3,0))</f>
        <v/>
      </c>
      <c r="C955" s="10">
        <f>IF(AND(Premissas!$B$10&gt;1,A955&lt;Premissas!$B$9),B955*Premissas!$B$10,B955)</f>
        <v/>
      </c>
      <c r="D955" s="12" t="n"/>
      <c r="E955" s="10">
        <f>Precos!J955</f>
        <v/>
      </c>
      <c r="F955" s="12" t="n"/>
    </row>
    <row r="956">
      <c r="A956" s="9">
        <f>Precos!A956</f>
        <v/>
      </c>
      <c r="B956" s="10">
        <f>INDEX(Precos!$B956:$I956,MATCH(Premissas!$B$8,Precos!$B$3:$I$3,0))</f>
        <v/>
      </c>
      <c r="C956" s="10">
        <f>IF(AND(Premissas!$B$10&gt;1,A956&lt;Premissas!$B$9),B956*Premissas!$B$10,B956)</f>
        <v/>
      </c>
      <c r="D956" s="12" t="n"/>
      <c r="E956" s="10">
        <f>Precos!J956</f>
        <v/>
      </c>
      <c r="F956" s="12" t="n"/>
    </row>
    <row r="957">
      <c r="A957" s="9">
        <f>Precos!A957</f>
        <v/>
      </c>
      <c r="B957" s="10">
        <f>INDEX(Precos!$B957:$I957,MATCH(Premissas!$B$8,Precos!$B$3:$I$3,0))</f>
        <v/>
      </c>
      <c r="C957" s="10">
        <f>IF(AND(Premissas!$B$10&gt;1,A957&lt;Premissas!$B$9),B957*Premissas!$B$10,B957)</f>
        <v/>
      </c>
      <c r="D957" s="12" t="n"/>
      <c r="E957" s="10">
        <f>Precos!J957</f>
        <v/>
      </c>
      <c r="F957" s="12" t="n"/>
    </row>
    <row r="958">
      <c r="A958" s="9">
        <f>Precos!A958</f>
        <v/>
      </c>
      <c r="B958" s="10">
        <f>INDEX(Precos!$B958:$I958,MATCH(Premissas!$B$8,Precos!$B$3:$I$3,0))</f>
        <v/>
      </c>
      <c r="C958" s="10">
        <f>IF(AND(Premissas!$B$10&gt;1,A958&lt;Premissas!$B$9),B958*Premissas!$B$10,B958)</f>
        <v/>
      </c>
      <c r="D958" s="12" t="n"/>
      <c r="E958" s="10">
        <f>Precos!J958</f>
        <v/>
      </c>
      <c r="F958" s="12" t="n"/>
    </row>
    <row r="959">
      <c r="A959" s="9">
        <f>Precos!A959</f>
        <v/>
      </c>
      <c r="B959" s="10">
        <f>INDEX(Precos!$B959:$I959,MATCH(Premissas!$B$8,Precos!$B$3:$I$3,0))</f>
        <v/>
      </c>
      <c r="C959" s="10">
        <f>IF(AND(Premissas!$B$10&gt;1,A959&lt;Premissas!$B$9),B959*Premissas!$B$10,B959)</f>
        <v/>
      </c>
      <c r="D959" s="12" t="n"/>
      <c r="E959" s="10">
        <f>Precos!J959</f>
        <v/>
      </c>
      <c r="F959" s="12" t="n"/>
    </row>
    <row r="960">
      <c r="A960" s="9">
        <f>Precos!A960</f>
        <v/>
      </c>
      <c r="B960" s="10">
        <f>INDEX(Precos!$B960:$I960,MATCH(Premissas!$B$8,Precos!$B$3:$I$3,0))</f>
        <v/>
      </c>
      <c r="C960" s="10">
        <f>IF(AND(Premissas!$B$10&gt;1,A960&lt;Premissas!$B$9),B960*Premissas!$B$10,B960)</f>
        <v/>
      </c>
      <c r="D960" s="12" t="n"/>
      <c r="E960" s="10">
        <f>Precos!J960</f>
        <v/>
      </c>
      <c r="F960" s="12" t="n"/>
    </row>
    <row r="961">
      <c r="A961" s="9">
        <f>Precos!A961</f>
        <v/>
      </c>
      <c r="B961" s="10">
        <f>INDEX(Precos!$B961:$I961,MATCH(Premissas!$B$8,Precos!$B$3:$I$3,0))</f>
        <v/>
      </c>
      <c r="C961" s="10">
        <f>IF(AND(Premissas!$B$10&gt;1,A961&lt;Premissas!$B$9),B961*Premissas!$B$10,B961)</f>
        <v/>
      </c>
      <c r="D961" s="12" t="n"/>
      <c r="E961" s="10">
        <f>Precos!J961</f>
        <v/>
      </c>
      <c r="F961" s="12" t="n"/>
    </row>
    <row r="962">
      <c r="A962" s="9">
        <f>Precos!A962</f>
        <v/>
      </c>
      <c r="B962" s="10">
        <f>INDEX(Precos!$B962:$I962,MATCH(Premissas!$B$8,Precos!$B$3:$I$3,0))</f>
        <v/>
      </c>
      <c r="C962" s="10">
        <f>IF(AND(Premissas!$B$10&gt;1,A962&lt;Premissas!$B$9),B962*Premissas!$B$10,B962)</f>
        <v/>
      </c>
      <c r="D962" s="12" t="n"/>
      <c r="E962" s="10">
        <f>Precos!J962</f>
        <v/>
      </c>
      <c r="F962" s="12" t="n"/>
    </row>
    <row r="963">
      <c r="A963" s="9">
        <f>Precos!A963</f>
        <v/>
      </c>
      <c r="B963" s="10">
        <f>INDEX(Precos!$B963:$I963,MATCH(Premissas!$B$8,Precos!$B$3:$I$3,0))</f>
        <v/>
      </c>
      <c r="C963" s="10">
        <f>IF(AND(Premissas!$B$10&gt;1,A963&lt;Premissas!$B$9),B963*Premissas!$B$10,B963)</f>
        <v/>
      </c>
      <c r="D963" s="12" t="n"/>
      <c r="E963" s="10">
        <f>Precos!J963</f>
        <v/>
      </c>
      <c r="F963" s="12" t="n"/>
    </row>
    <row r="964">
      <c r="A964" s="9">
        <f>Precos!A964</f>
        <v/>
      </c>
      <c r="B964" s="10">
        <f>INDEX(Precos!$B964:$I964,MATCH(Premissas!$B$8,Precos!$B$3:$I$3,0))</f>
        <v/>
      </c>
      <c r="C964" s="10">
        <f>IF(AND(Premissas!$B$10&gt;1,A964&lt;Premissas!$B$9),B964*Premissas!$B$10,B964)</f>
        <v/>
      </c>
      <c r="D964" s="12" t="n"/>
      <c r="E964" s="10">
        <f>Precos!J964</f>
        <v/>
      </c>
      <c r="F964" s="12" t="n"/>
    </row>
    <row r="965">
      <c r="A965" s="9">
        <f>Precos!A965</f>
        <v/>
      </c>
      <c r="B965" s="10">
        <f>INDEX(Precos!$B965:$I965,MATCH(Premissas!$B$8,Precos!$B$3:$I$3,0))</f>
        <v/>
      </c>
      <c r="C965" s="10">
        <f>IF(AND(Premissas!$B$10&gt;1,A965&lt;Premissas!$B$9),B965*Premissas!$B$10,B965)</f>
        <v/>
      </c>
      <c r="D965" s="12" t="n"/>
      <c r="E965" s="10">
        <f>Precos!J965</f>
        <v/>
      </c>
      <c r="F965" s="12" t="n"/>
    </row>
    <row r="966">
      <c r="A966" s="9">
        <f>Precos!A966</f>
        <v/>
      </c>
      <c r="B966" s="10">
        <f>INDEX(Precos!$B966:$I966,MATCH(Premissas!$B$8,Precos!$B$3:$I$3,0))</f>
        <v/>
      </c>
      <c r="C966" s="10">
        <f>IF(AND(Premissas!$B$10&gt;1,A966&lt;Premissas!$B$9),B966*Premissas!$B$10,B966)</f>
        <v/>
      </c>
      <c r="D966" s="12" t="n"/>
      <c r="E966" s="10">
        <f>Precos!J966</f>
        <v/>
      </c>
      <c r="F966" s="12" t="n"/>
    </row>
    <row r="967">
      <c r="A967" s="9">
        <f>Precos!A967</f>
        <v/>
      </c>
      <c r="B967" s="10">
        <f>INDEX(Precos!$B967:$I967,MATCH(Premissas!$B$8,Precos!$B$3:$I$3,0))</f>
        <v/>
      </c>
      <c r="C967" s="10">
        <f>IF(AND(Premissas!$B$10&gt;1,A967&lt;Premissas!$B$9),B967*Premissas!$B$10,B967)</f>
        <v/>
      </c>
      <c r="D967" s="12" t="n"/>
      <c r="E967" s="10">
        <f>Precos!J967</f>
        <v/>
      </c>
      <c r="F967" s="12" t="n"/>
    </row>
    <row r="968">
      <c r="A968" s="9">
        <f>Precos!A968</f>
        <v/>
      </c>
      <c r="B968" s="10">
        <f>INDEX(Precos!$B968:$I968,MATCH(Premissas!$B$8,Precos!$B$3:$I$3,0))</f>
        <v/>
      </c>
      <c r="C968" s="10">
        <f>IF(AND(Premissas!$B$10&gt;1,A968&lt;Premissas!$B$9),B968*Premissas!$B$10,B968)</f>
        <v/>
      </c>
      <c r="D968" s="12" t="n"/>
      <c r="E968" s="10">
        <f>Precos!J968</f>
        <v/>
      </c>
      <c r="F968" s="12" t="n"/>
    </row>
    <row r="969">
      <c r="A969" s="9">
        <f>Precos!A969</f>
        <v/>
      </c>
      <c r="B969" s="10">
        <f>INDEX(Precos!$B969:$I969,MATCH(Premissas!$B$8,Precos!$B$3:$I$3,0))</f>
        <v/>
      </c>
      <c r="C969" s="10">
        <f>IF(AND(Premissas!$B$10&gt;1,A969&lt;Premissas!$B$9),B969*Premissas!$B$10,B969)</f>
        <v/>
      </c>
      <c r="D969" s="12" t="n"/>
      <c r="E969" s="10">
        <f>Precos!J969</f>
        <v/>
      </c>
      <c r="F969" s="12" t="n"/>
    </row>
    <row r="970">
      <c r="A970" s="9">
        <f>Precos!A970</f>
        <v/>
      </c>
      <c r="B970" s="10">
        <f>INDEX(Precos!$B970:$I970,MATCH(Premissas!$B$8,Precos!$B$3:$I$3,0))</f>
        <v/>
      </c>
      <c r="C970" s="10">
        <f>IF(AND(Premissas!$B$10&gt;1,A970&lt;Premissas!$B$9),B970*Premissas!$B$10,B970)</f>
        <v/>
      </c>
      <c r="D970" s="12" t="n"/>
      <c r="E970" s="10">
        <f>Precos!J970</f>
        <v/>
      </c>
      <c r="F970" s="12" t="n"/>
    </row>
    <row r="971">
      <c r="A971" s="9">
        <f>Precos!A971</f>
        <v/>
      </c>
      <c r="B971" s="10">
        <f>INDEX(Precos!$B971:$I971,MATCH(Premissas!$B$8,Precos!$B$3:$I$3,0))</f>
        <v/>
      </c>
      <c r="C971" s="10">
        <f>IF(AND(Premissas!$B$10&gt;1,A971&lt;Premissas!$B$9),B971*Premissas!$B$10,B971)</f>
        <v/>
      </c>
      <c r="D971" s="12" t="n"/>
      <c r="E971" s="10">
        <f>Precos!J971</f>
        <v/>
      </c>
      <c r="F971" s="12" t="n"/>
    </row>
    <row r="972">
      <c r="A972" s="9">
        <f>Precos!A972</f>
        <v/>
      </c>
      <c r="B972" s="10">
        <f>INDEX(Precos!$B972:$I972,MATCH(Premissas!$B$8,Precos!$B$3:$I$3,0))</f>
        <v/>
      </c>
      <c r="C972" s="10">
        <f>IF(AND(Premissas!$B$10&gt;1,A972&lt;Premissas!$B$9),B972*Premissas!$B$10,B972)</f>
        <v/>
      </c>
      <c r="D972" s="12" t="n"/>
      <c r="E972" s="10">
        <f>Precos!J972</f>
        <v/>
      </c>
      <c r="F972" s="12" t="n"/>
    </row>
    <row r="973">
      <c r="A973" s="9">
        <f>Precos!A973</f>
        <v/>
      </c>
      <c r="B973" s="10">
        <f>INDEX(Precos!$B973:$I973,MATCH(Premissas!$B$8,Precos!$B$3:$I$3,0))</f>
        <v/>
      </c>
      <c r="C973" s="10">
        <f>IF(AND(Premissas!$B$10&gt;1,A973&lt;Premissas!$B$9),B973*Premissas!$B$10,B973)</f>
        <v/>
      </c>
      <c r="D973" s="12" t="n"/>
      <c r="E973" s="10">
        <f>Precos!J973</f>
        <v/>
      </c>
      <c r="F973" s="12" t="n"/>
    </row>
    <row r="974">
      <c r="A974" s="9">
        <f>Precos!A974</f>
        <v/>
      </c>
      <c r="B974" s="10">
        <f>INDEX(Precos!$B974:$I974,MATCH(Premissas!$B$8,Precos!$B$3:$I$3,0))</f>
        <v/>
      </c>
      <c r="C974" s="10">
        <f>IF(AND(Premissas!$B$10&gt;1,A974&lt;Premissas!$B$9),B974*Premissas!$B$10,B974)</f>
        <v/>
      </c>
      <c r="D974" s="12" t="n"/>
      <c r="E974" s="10">
        <f>Precos!J974</f>
        <v/>
      </c>
      <c r="F974" s="12" t="n"/>
    </row>
    <row r="975">
      <c r="A975" s="9">
        <f>Precos!A975</f>
        <v/>
      </c>
      <c r="B975" s="10">
        <f>INDEX(Precos!$B975:$I975,MATCH(Premissas!$B$8,Precos!$B$3:$I$3,0))</f>
        <v/>
      </c>
      <c r="C975" s="10">
        <f>IF(AND(Premissas!$B$10&gt;1,A975&lt;Premissas!$B$9),B975*Premissas!$B$10,B975)</f>
        <v/>
      </c>
      <c r="D975" s="12" t="n"/>
      <c r="E975" s="10">
        <f>Precos!J975</f>
        <v/>
      </c>
      <c r="F975" s="12" t="n"/>
    </row>
    <row r="976">
      <c r="A976" s="9">
        <f>Precos!A976</f>
        <v/>
      </c>
      <c r="B976" s="10">
        <f>INDEX(Precos!$B976:$I976,MATCH(Premissas!$B$8,Precos!$B$3:$I$3,0))</f>
        <v/>
      </c>
      <c r="C976" s="10">
        <f>IF(AND(Premissas!$B$10&gt;1,A976&lt;Premissas!$B$9),B976*Premissas!$B$10,B976)</f>
        <v/>
      </c>
      <c r="D976" s="12" t="n"/>
      <c r="E976" s="10">
        <f>Precos!J976</f>
        <v/>
      </c>
      <c r="F976" s="12" t="n"/>
    </row>
    <row r="977">
      <c r="A977" s="9">
        <f>Precos!A977</f>
        <v/>
      </c>
      <c r="B977" s="10">
        <f>INDEX(Precos!$B977:$I977,MATCH(Premissas!$B$8,Precos!$B$3:$I$3,0))</f>
        <v/>
      </c>
      <c r="C977" s="10">
        <f>IF(AND(Premissas!$B$10&gt;1,A977&lt;Premissas!$B$9),B977*Premissas!$B$10,B977)</f>
        <v/>
      </c>
      <c r="D977" s="12" t="n"/>
      <c r="E977" s="10">
        <f>Precos!J977</f>
        <v/>
      </c>
      <c r="F977" s="12" t="n"/>
    </row>
    <row r="978">
      <c r="A978" s="9">
        <f>Precos!A978</f>
        <v/>
      </c>
      <c r="B978" s="10">
        <f>INDEX(Precos!$B978:$I978,MATCH(Premissas!$B$8,Precos!$B$3:$I$3,0))</f>
        <v/>
      </c>
      <c r="C978" s="10">
        <f>IF(AND(Premissas!$B$10&gt;1,A978&lt;Premissas!$B$9),B978*Premissas!$B$10,B978)</f>
        <v/>
      </c>
      <c r="D978" s="12" t="n"/>
      <c r="E978" s="10">
        <f>Precos!J978</f>
        <v/>
      </c>
      <c r="F978" s="12" t="n"/>
    </row>
    <row r="979">
      <c r="A979" s="9">
        <f>Precos!A979</f>
        <v/>
      </c>
      <c r="B979" s="10">
        <f>INDEX(Precos!$B979:$I979,MATCH(Premissas!$B$8,Precos!$B$3:$I$3,0))</f>
        <v/>
      </c>
      <c r="C979" s="10">
        <f>IF(AND(Premissas!$B$10&gt;1,A979&lt;Premissas!$B$9),B979*Premissas!$B$10,B979)</f>
        <v/>
      </c>
      <c r="D979" s="12" t="n"/>
      <c r="E979" s="10">
        <f>Precos!J979</f>
        <v/>
      </c>
      <c r="F979" s="12" t="n"/>
    </row>
    <row r="980">
      <c r="A980" s="9">
        <f>Precos!A980</f>
        <v/>
      </c>
      <c r="B980" s="10">
        <f>INDEX(Precos!$B980:$I980,MATCH(Premissas!$B$8,Precos!$B$3:$I$3,0))</f>
        <v/>
      </c>
      <c r="C980" s="10">
        <f>IF(AND(Premissas!$B$10&gt;1,A980&lt;Premissas!$B$9),B980*Premissas!$B$10,B980)</f>
        <v/>
      </c>
      <c r="D980" s="12" t="n"/>
      <c r="E980" s="10">
        <f>Precos!J980</f>
        <v/>
      </c>
      <c r="F980" s="12" t="n"/>
    </row>
    <row r="981">
      <c r="A981" s="9">
        <f>Precos!A981</f>
        <v/>
      </c>
      <c r="B981" s="10">
        <f>INDEX(Precos!$B981:$I981,MATCH(Premissas!$B$8,Precos!$B$3:$I$3,0))</f>
        <v/>
      </c>
      <c r="C981" s="10">
        <f>IF(AND(Premissas!$B$10&gt;1,A981&lt;Premissas!$B$9),B981*Premissas!$B$10,B981)</f>
        <v/>
      </c>
      <c r="D981" s="12" t="n"/>
      <c r="E981" s="10">
        <f>Precos!J981</f>
        <v/>
      </c>
      <c r="F981" s="12" t="n"/>
    </row>
    <row r="982">
      <c r="A982" s="9">
        <f>Precos!A982</f>
        <v/>
      </c>
      <c r="B982" s="10">
        <f>INDEX(Precos!$B982:$I982,MATCH(Premissas!$B$8,Precos!$B$3:$I$3,0))</f>
        <v/>
      </c>
      <c r="C982" s="10">
        <f>IF(AND(Premissas!$B$10&gt;1,A982&lt;Premissas!$B$9),B982*Premissas!$B$10,B982)</f>
        <v/>
      </c>
      <c r="D982" s="12" t="n"/>
      <c r="E982" s="10">
        <f>Precos!J982</f>
        <v/>
      </c>
      <c r="F982" s="12" t="n"/>
    </row>
    <row r="983">
      <c r="A983" s="9">
        <f>Precos!A983</f>
        <v/>
      </c>
      <c r="B983" s="10">
        <f>INDEX(Precos!$B983:$I983,MATCH(Premissas!$B$8,Precos!$B$3:$I$3,0))</f>
        <v/>
      </c>
      <c r="C983" s="10">
        <f>IF(AND(Premissas!$B$10&gt;1,A983&lt;Premissas!$B$9),B983*Premissas!$B$10,B983)</f>
        <v/>
      </c>
      <c r="D983" s="12" t="n"/>
      <c r="E983" s="10">
        <f>Precos!J983</f>
        <v/>
      </c>
      <c r="F983" s="12" t="n"/>
    </row>
    <row r="984">
      <c r="A984" s="9">
        <f>Precos!A984</f>
        <v/>
      </c>
      <c r="B984" s="10">
        <f>INDEX(Precos!$B984:$I984,MATCH(Premissas!$B$8,Precos!$B$3:$I$3,0))</f>
        <v/>
      </c>
      <c r="C984" s="10">
        <f>IF(AND(Premissas!$B$10&gt;1,A984&lt;Premissas!$B$9),B984*Premissas!$B$10,B984)</f>
        <v/>
      </c>
      <c r="D984" s="12" t="n"/>
      <c r="E984" s="10">
        <f>Precos!J984</f>
        <v/>
      </c>
      <c r="F984" s="12" t="n"/>
    </row>
    <row r="985">
      <c r="A985" s="9">
        <f>Precos!A985</f>
        <v/>
      </c>
      <c r="B985" s="10">
        <f>INDEX(Precos!$B985:$I985,MATCH(Premissas!$B$8,Precos!$B$3:$I$3,0))</f>
        <v/>
      </c>
      <c r="C985" s="10">
        <f>IF(AND(Premissas!$B$10&gt;1,A985&lt;Premissas!$B$9),B985*Premissas!$B$10,B985)</f>
        <v/>
      </c>
      <c r="D985" s="12" t="n"/>
      <c r="E985" s="10">
        <f>Precos!J985</f>
        <v/>
      </c>
      <c r="F985" s="12" t="n"/>
    </row>
    <row r="986">
      <c r="A986" s="9">
        <f>Precos!A986</f>
        <v/>
      </c>
      <c r="B986" s="10">
        <f>INDEX(Precos!$B986:$I986,MATCH(Premissas!$B$8,Precos!$B$3:$I$3,0))</f>
        <v/>
      </c>
      <c r="C986" s="10">
        <f>IF(AND(Premissas!$B$10&gt;1,A986&lt;Premissas!$B$9),B986*Premissas!$B$10,B986)</f>
        <v/>
      </c>
      <c r="D986" s="12" t="n"/>
      <c r="E986" s="10">
        <f>Precos!J986</f>
        <v/>
      </c>
      <c r="F986" s="12" t="n"/>
    </row>
    <row r="987">
      <c r="A987" s="9">
        <f>Precos!A987</f>
        <v/>
      </c>
      <c r="B987" s="10">
        <f>INDEX(Precos!$B987:$I987,MATCH(Premissas!$B$8,Precos!$B$3:$I$3,0))</f>
        <v/>
      </c>
      <c r="C987" s="10">
        <f>IF(AND(Premissas!$B$10&gt;1,A987&lt;Premissas!$B$9),B987*Premissas!$B$10,B987)</f>
        <v/>
      </c>
      <c r="D987" s="12" t="n"/>
      <c r="E987" s="10">
        <f>Precos!J987</f>
        <v/>
      </c>
      <c r="F987" s="12" t="n"/>
    </row>
    <row r="988">
      <c r="A988" s="9">
        <f>Precos!A988</f>
        <v/>
      </c>
      <c r="B988" s="10">
        <f>INDEX(Precos!$B988:$I988,MATCH(Premissas!$B$8,Precos!$B$3:$I$3,0))</f>
        <v/>
      </c>
      <c r="C988" s="10">
        <f>IF(AND(Premissas!$B$10&gt;1,A988&lt;Premissas!$B$9),B988*Premissas!$B$10,B988)</f>
        <v/>
      </c>
      <c r="D988" s="12" t="n"/>
      <c r="E988" s="10">
        <f>Precos!J988</f>
        <v/>
      </c>
      <c r="F988" s="12" t="n"/>
    </row>
    <row r="989">
      <c r="A989" s="9">
        <f>Precos!A989</f>
        <v/>
      </c>
      <c r="B989" s="10">
        <f>INDEX(Precos!$B989:$I989,MATCH(Premissas!$B$8,Precos!$B$3:$I$3,0))</f>
        <v/>
      </c>
      <c r="C989" s="10">
        <f>IF(AND(Premissas!$B$10&gt;1,A989&lt;Premissas!$B$9),B989*Premissas!$B$10,B989)</f>
        <v/>
      </c>
      <c r="D989" s="12" t="n"/>
      <c r="E989" s="10">
        <f>Precos!J989</f>
        <v/>
      </c>
      <c r="F989" s="12" t="n"/>
    </row>
    <row r="990">
      <c r="A990" s="9">
        <f>Precos!A990</f>
        <v/>
      </c>
      <c r="B990" s="10">
        <f>INDEX(Precos!$B990:$I990,MATCH(Premissas!$B$8,Precos!$B$3:$I$3,0))</f>
        <v/>
      </c>
      <c r="C990" s="10">
        <f>IF(AND(Premissas!$B$10&gt;1,A990&lt;Premissas!$B$9),B990*Premissas!$B$10,B990)</f>
        <v/>
      </c>
      <c r="D990" s="12" t="n"/>
      <c r="E990" s="10">
        <f>Precos!J990</f>
        <v/>
      </c>
      <c r="F990" s="12" t="n"/>
    </row>
    <row r="991">
      <c r="A991" s="9">
        <f>Precos!A991</f>
        <v/>
      </c>
      <c r="B991" s="10">
        <f>INDEX(Precos!$B991:$I991,MATCH(Premissas!$B$8,Precos!$B$3:$I$3,0))</f>
        <v/>
      </c>
      <c r="C991" s="10">
        <f>IF(AND(Premissas!$B$10&gt;1,A991&lt;Premissas!$B$9),B991*Premissas!$B$10,B991)</f>
        <v/>
      </c>
      <c r="D991" s="12" t="n"/>
      <c r="E991" s="10">
        <f>Precos!J991</f>
        <v/>
      </c>
      <c r="F991" s="12" t="n"/>
    </row>
    <row r="992">
      <c r="A992" s="9">
        <f>Precos!A992</f>
        <v/>
      </c>
      <c r="B992" s="10">
        <f>INDEX(Precos!$B992:$I992,MATCH(Premissas!$B$8,Precos!$B$3:$I$3,0))</f>
        <v/>
      </c>
      <c r="C992" s="10">
        <f>IF(AND(Premissas!$B$10&gt;1,A992&lt;Premissas!$B$9),B992*Premissas!$B$10,B992)</f>
        <v/>
      </c>
      <c r="D992" s="12" t="n"/>
      <c r="E992" s="10">
        <f>Precos!J992</f>
        <v/>
      </c>
      <c r="F992" s="12" t="n"/>
    </row>
    <row r="993">
      <c r="A993" s="9">
        <f>Precos!A993</f>
        <v/>
      </c>
      <c r="B993" s="10">
        <f>INDEX(Precos!$B993:$I993,MATCH(Premissas!$B$8,Precos!$B$3:$I$3,0))</f>
        <v/>
      </c>
      <c r="C993" s="10">
        <f>IF(AND(Premissas!$B$10&gt;1,A993&lt;Premissas!$B$9),B993*Premissas!$B$10,B993)</f>
        <v/>
      </c>
      <c r="D993" s="12" t="n"/>
      <c r="E993" s="10">
        <f>Precos!J993</f>
        <v/>
      </c>
      <c r="F993" s="12" t="n"/>
    </row>
    <row r="994">
      <c r="A994" s="9">
        <f>Precos!A994</f>
        <v/>
      </c>
      <c r="B994" s="10">
        <f>INDEX(Precos!$B994:$I994,MATCH(Premissas!$B$8,Precos!$B$3:$I$3,0))</f>
        <v/>
      </c>
      <c r="C994" s="10">
        <f>IF(AND(Premissas!$B$10&gt;1,A994&lt;Premissas!$B$9),B994*Premissas!$B$10,B994)</f>
        <v/>
      </c>
      <c r="D994" s="12" t="n"/>
      <c r="E994" s="10">
        <f>Precos!J994</f>
        <v/>
      </c>
      <c r="F994" s="12" t="n"/>
    </row>
    <row r="995">
      <c r="A995" s="9">
        <f>Precos!A995</f>
        <v/>
      </c>
      <c r="B995" s="10">
        <f>INDEX(Precos!$B995:$I995,MATCH(Premissas!$B$8,Precos!$B$3:$I$3,0))</f>
        <v/>
      </c>
      <c r="C995" s="10">
        <f>IF(AND(Premissas!$B$10&gt;1,A995&lt;Premissas!$B$9),B995*Premissas!$B$10,B995)</f>
        <v/>
      </c>
      <c r="D995" s="12" t="n"/>
      <c r="E995" s="10">
        <f>Precos!J995</f>
        <v/>
      </c>
      <c r="F995" s="12" t="n"/>
    </row>
    <row r="996">
      <c r="A996" s="9">
        <f>Precos!A996</f>
        <v/>
      </c>
      <c r="B996" s="10">
        <f>INDEX(Precos!$B996:$I996,MATCH(Premissas!$B$8,Precos!$B$3:$I$3,0))</f>
        <v/>
      </c>
      <c r="C996" s="10">
        <f>IF(AND(Premissas!$B$10&gt;1,A996&lt;Premissas!$B$9),B996*Premissas!$B$10,B996)</f>
        <v/>
      </c>
      <c r="D996" s="12" t="n"/>
      <c r="E996" s="10">
        <f>Precos!J996</f>
        <v/>
      </c>
      <c r="F996" s="12" t="n"/>
    </row>
    <row r="997">
      <c r="A997" s="9">
        <f>Precos!A997</f>
        <v/>
      </c>
      <c r="B997" s="10">
        <f>INDEX(Precos!$B997:$I997,MATCH(Premissas!$B$8,Precos!$B$3:$I$3,0))</f>
        <v/>
      </c>
      <c r="C997" s="10">
        <f>IF(AND(Premissas!$B$10&gt;1,A997&lt;Premissas!$B$9),B997*Premissas!$B$10,B997)</f>
        <v/>
      </c>
      <c r="D997" s="12" t="n"/>
      <c r="E997" s="10">
        <f>Precos!J997</f>
        <v/>
      </c>
      <c r="F997" s="12" t="n"/>
    </row>
    <row r="998">
      <c r="A998" s="9">
        <f>Precos!A998</f>
        <v/>
      </c>
      <c r="B998" s="10">
        <f>INDEX(Precos!$B998:$I998,MATCH(Premissas!$B$8,Precos!$B$3:$I$3,0))</f>
        <v/>
      </c>
      <c r="C998" s="10">
        <f>IF(AND(Premissas!$B$10&gt;1,A998&lt;Premissas!$B$9),B998*Premissas!$B$10,B998)</f>
        <v/>
      </c>
      <c r="D998" s="12" t="n"/>
      <c r="E998" s="10">
        <f>Precos!J998</f>
        <v/>
      </c>
      <c r="F998" s="12" t="n"/>
    </row>
    <row r="999">
      <c r="A999" s="9">
        <f>Precos!A999</f>
        <v/>
      </c>
      <c r="B999" s="10">
        <f>INDEX(Precos!$B999:$I999,MATCH(Premissas!$B$8,Precos!$B$3:$I$3,0))</f>
        <v/>
      </c>
      <c r="C999" s="10">
        <f>IF(AND(Premissas!$B$10&gt;1,A999&lt;Premissas!$B$9),B999*Premissas!$B$10,B999)</f>
        <v/>
      </c>
      <c r="D999" s="12" t="n"/>
      <c r="E999" s="10">
        <f>Precos!J999</f>
        <v/>
      </c>
      <c r="F999" s="12" t="n"/>
    </row>
    <row r="1000">
      <c r="A1000" s="9">
        <f>Precos!A1000</f>
        <v/>
      </c>
      <c r="B1000" s="10">
        <f>INDEX(Precos!$B1000:$I1000,MATCH(Premissas!$B$8,Precos!$B$3:$I$3,0))</f>
        <v/>
      </c>
      <c r="C1000" s="10">
        <f>IF(AND(Premissas!$B$10&gt;1,A1000&lt;Premissas!$B$9),B1000*Premissas!$B$10,B1000)</f>
        <v/>
      </c>
      <c r="D1000" s="12" t="n"/>
      <c r="E1000" s="10">
        <f>Precos!J1000</f>
        <v/>
      </c>
      <c r="F1000" s="12" t="n"/>
    </row>
    <row r="1001">
      <c r="A1001" s="9">
        <f>Precos!A1001</f>
        <v/>
      </c>
      <c r="B1001" s="10">
        <f>INDEX(Precos!$B1001:$I1001,MATCH(Premissas!$B$8,Precos!$B$3:$I$3,0))</f>
        <v/>
      </c>
      <c r="C1001" s="10">
        <f>IF(AND(Premissas!$B$10&gt;1,A1001&lt;Premissas!$B$9),B1001*Premissas!$B$10,B1001)</f>
        <v/>
      </c>
      <c r="D1001" s="12" t="n"/>
      <c r="E1001" s="10">
        <f>Precos!J1001</f>
        <v/>
      </c>
      <c r="F1001" s="12" t="n"/>
    </row>
    <row r="1002">
      <c r="A1002" s="9">
        <f>Precos!A1002</f>
        <v/>
      </c>
      <c r="B1002" s="10">
        <f>INDEX(Precos!$B1002:$I1002,MATCH(Premissas!$B$8,Precos!$B$3:$I$3,0))</f>
        <v/>
      </c>
      <c r="C1002" s="10">
        <f>IF(AND(Premissas!$B$10&gt;1,A1002&lt;Premissas!$B$9),B1002*Premissas!$B$10,B1002)</f>
        <v/>
      </c>
      <c r="D1002" s="12" t="n"/>
      <c r="E1002" s="10">
        <f>Precos!J1002</f>
        <v/>
      </c>
      <c r="F1002" s="12" t="n"/>
    </row>
    <row r="1003">
      <c r="A1003" s="9">
        <f>Precos!A1003</f>
        <v/>
      </c>
      <c r="B1003" s="10">
        <f>INDEX(Precos!$B1003:$I1003,MATCH(Premissas!$B$8,Precos!$B$3:$I$3,0))</f>
        <v/>
      </c>
      <c r="C1003" s="10">
        <f>IF(AND(Premissas!$B$10&gt;1,A1003&lt;Premissas!$B$9),B1003*Premissas!$B$10,B1003)</f>
        <v/>
      </c>
      <c r="D1003" s="12" t="n"/>
      <c r="E1003" s="10">
        <f>Precos!J1003</f>
        <v/>
      </c>
      <c r="F1003" s="12" t="n"/>
    </row>
    <row r="1004">
      <c r="A1004" s="9">
        <f>Precos!A1004</f>
        <v/>
      </c>
      <c r="B1004" s="10">
        <f>INDEX(Precos!$B1004:$I1004,MATCH(Premissas!$B$8,Precos!$B$3:$I$3,0))</f>
        <v/>
      </c>
      <c r="C1004" s="10">
        <f>IF(AND(Premissas!$B$10&gt;1,A1004&lt;Premissas!$B$9),B1004*Premissas!$B$10,B1004)</f>
        <v/>
      </c>
      <c r="D1004" s="12" t="n"/>
      <c r="E1004" s="10">
        <f>Precos!J1004</f>
        <v/>
      </c>
      <c r="F1004" s="12" t="n"/>
    </row>
    <row r="1005">
      <c r="A1005" s="9">
        <f>Precos!A1005</f>
        <v/>
      </c>
      <c r="B1005" s="10">
        <f>INDEX(Precos!$B1005:$I1005,MATCH(Premissas!$B$8,Precos!$B$3:$I$3,0))</f>
        <v/>
      </c>
      <c r="C1005" s="10">
        <f>IF(AND(Premissas!$B$10&gt;1,A1005&lt;Premissas!$B$9),B1005*Premissas!$B$10,B1005)</f>
        <v/>
      </c>
      <c r="D1005" s="12" t="n"/>
      <c r="E1005" s="10">
        <f>Precos!J1005</f>
        <v/>
      </c>
      <c r="F1005" s="12" t="n"/>
    </row>
    <row r="1006">
      <c r="A1006" s="9">
        <f>Precos!A1006</f>
        <v/>
      </c>
      <c r="B1006" s="10">
        <f>INDEX(Precos!$B1006:$I1006,MATCH(Premissas!$B$8,Precos!$B$3:$I$3,0))</f>
        <v/>
      </c>
      <c r="C1006" s="10">
        <f>IF(AND(Premissas!$B$10&gt;1,A1006&lt;Premissas!$B$9),B1006*Premissas!$B$10,B1006)</f>
        <v/>
      </c>
      <c r="D1006" s="12" t="n"/>
      <c r="E1006" s="10">
        <f>Precos!J1006</f>
        <v/>
      </c>
      <c r="F1006" s="12" t="n"/>
    </row>
    <row r="1007">
      <c r="A1007" s="9">
        <f>Precos!A1007</f>
        <v/>
      </c>
      <c r="B1007" s="10">
        <f>INDEX(Precos!$B1007:$I1007,MATCH(Premissas!$B$8,Precos!$B$3:$I$3,0))</f>
        <v/>
      </c>
      <c r="C1007" s="10">
        <f>IF(AND(Premissas!$B$10&gt;1,A1007&lt;Premissas!$B$9),B1007*Premissas!$B$10,B1007)</f>
        <v/>
      </c>
      <c r="D1007" s="12" t="n"/>
      <c r="E1007" s="10">
        <f>Precos!J1007</f>
        <v/>
      </c>
      <c r="F1007" s="12" t="n"/>
    </row>
    <row r="1008">
      <c r="A1008" s="9">
        <f>Precos!A1008</f>
        <v/>
      </c>
      <c r="B1008" s="10">
        <f>INDEX(Precos!$B1008:$I1008,MATCH(Premissas!$B$8,Precos!$B$3:$I$3,0))</f>
        <v/>
      </c>
      <c r="C1008" s="10">
        <f>IF(AND(Premissas!$B$10&gt;1,A1008&lt;Premissas!$B$9),B1008*Premissas!$B$10,B1008)</f>
        <v/>
      </c>
      <c r="D1008" s="12" t="n"/>
      <c r="E1008" s="10">
        <f>Precos!J1008</f>
        <v/>
      </c>
      <c r="F1008" s="12" t="n"/>
    </row>
    <row r="1009">
      <c r="A1009" s="9">
        <f>Precos!A1009</f>
        <v/>
      </c>
      <c r="B1009" s="10">
        <f>INDEX(Precos!$B1009:$I1009,MATCH(Premissas!$B$8,Precos!$B$3:$I$3,0))</f>
        <v/>
      </c>
      <c r="C1009" s="10">
        <f>IF(AND(Premissas!$B$10&gt;1,A1009&lt;Premissas!$B$9),B1009*Premissas!$B$10,B1009)</f>
        <v/>
      </c>
      <c r="D1009" s="12" t="n"/>
      <c r="E1009" s="10">
        <f>Precos!J1009</f>
        <v/>
      </c>
      <c r="F1009" s="12" t="n"/>
    </row>
    <row r="1010">
      <c r="A1010" s="9">
        <f>Precos!A1010</f>
        <v/>
      </c>
      <c r="B1010" s="10">
        <f>INDEX(Precos!$B1010:$I1010,MATCH(Premissas!$B$8,Precos!$B$3:$I$3,0))</f>
        <v/>
      </c>
      <c r="C1010" s="10">
        <f>IF(AND(Premissas!$B$10&gt;1,A1010&lt;Premissas!$B$9),B1010*Premissas!$B$10,B1010)</f>
        <v/>
      </c>
      <c r="D1010" s="12" t="n"/>
      <c r="E1010" s="10">
        <f>Precos!J1010</f>
        <v/>
      </c>
      <c r="F1010" s="12" t="n"/>
    </row>
    <row r="1011">
      <c r="A1011" s="9">
        <f>Precos!A1011</f>
        <v/>
      </c>
      <c r="B1011" s="10">
        <f>INDEX(Precos!$B1011:$I1011,MATCH(Premissas!$B$8,Precos!$B$3:$I$3,0))</f>
        <v/>
      </c>
      <c r="C1011" s="10">
        <f>IF(AND(Premissas!$B$10&gt;1,A1011&lt;Premissas!$B$9),B1011*Premissas!$B$10,B1011)</f>
        <v/>
      </c>
      <c r="D1011" s="12" t="n"/>
      <c r="E1011" s="10">
        <f>Precos!J1011</f>
        <v/>
      </c>
      <c r="F1011" s="12" t="n"/>
    </row>
    <row r="1012">
      <c r="A1012" s="9">
        <f>Precos!A1012</f>
        <v/>
      </c>
      <c r="B1012" s="10">
        <f>INDEX(Precos!$B1012:$I1012,MATCH(Premissas!$B$8,Precos!$B$3:$I$3,0))</f>
        <v/>
      </c>
      <c r="C1012" s="10">
        <f>IF(AND(Premissas!$B$10&gt;1,A1012&lt;Premissas!$B$9),B1012*Premissas!$B$10,B1012)</f>
        <v/>
      </c>
      <c r="D1012" s="12" t="n"/>
      <c r="E1012" s="10">
        <f>Precos!J1012</f>
        <v/>
      </c>
      <c r="F1012" s="12" t="n"/>
    </row>
    <row r="1013">
      <c r="A1013" s="9">
        <f>Precos!A1013</f>
        <v/>
      </c>
      <c r="B1013" s="10">
        <f>INDEX(Precos!$B1013:$I1013,MATCH(Premissas!$B$8,Precos!$B$3:$I$3,0))</f>
        <v/>
      </c>
      <c r="C1013" s="10">
        <f>IF(AND(Premissas!$B$10&gt;1,A1013&lt;Premissas!$B$9),B1013*Premissas!$B$10,B1013)</f>
        <v/>
      </c>
      <c r="D1013" s="12" t="n"/>
      <c r="E1013" s="10">
        <f>Precos!J1013</f>
        <v/>
      </c>
      <c r="F1013" s="12" t="n"/>
    </row>
    <row r="1014">
      <c r="A1014" s="9">
        <f>Precos!A1014</f>
        <v/>
      </c>
      <c r="B1014" s="10">
        <f>INDEX(Precos!$B1014:$I1014,MATCH(Premissas!$B$8,Precos!$B$3:$I$3,0))</f>
        <v/>
      </c>
      <c r="C1014" s="10">
        <f>IF(AND(Premissas!$B$10&gt;1,A1014&lt;Premissas!$B$9),B1014*Premissas!$B$10,B1014)</f>
        <v/>
      </c>
      <c r="D1014" s="12" t="n"/>
      <c r="E1014" s="10">
        <f>Precos!J1014</f>
        <v/>
      </c>
      <c r="F1014" s="12" t="n"/>
    </row>
    <row r="1015">
      <c r="A1015" s="9">
        <f>Precos!A1015</f>
        <v/>
      </c>
      <c r="B1015" s="10">
        <f>INDEX(Precos!$B1015:$I1015,MATCH(Premissas!$B$8,Precos!$B$3:$I$3,0))</f>
        <v/>
      </c>
      <c r="C1015" s="10">
        <f>IF(AND(Premissas!$B$10&gt;1,A1015&lt;Premissas!$B$9),B1015*Premissas!$B$10,B1015)</f>
        <v/>
      </c>
      <c r="D1015" s="12" t="n"/>
      <c r="E1015" s="10">
        <f>Precos!J1015</f>
        <v/>
      </c>
      <c r="F1015" s="12" t="n"/>
    </row>
    <row r="1016">
      <c r="A1016" s="9">
        <f>Precos!A1016</f>
        <v/>
      </c>
      <c r="B1016" s="10">
        <f>INDEX(Precos!$B1016:$I1016,MATCH(Premissas!$B$8,Precos!$B$3:$I$3,0))</f>
        <v/>
      </c>
      <c r="C1016" s="10">
        <f>IF(AND(Premissas!$B$10&gt;1,A1016&lt;Premissas!$B$9),B1016*Premissas!$B$10,B1016)</f>
        <v/>
      </c>
      <c r="D1016" s="12" t="n"/>
      <c r="E1016" s="10">
        <f>Precos!J1016</f>
        <v/>
      </c>
      <c r="F1016" s="12" t="n"/>
    </row>
    <row r="1017">
      <c r="A1017" s="9">
        <f>Precos!A1017</f>
        <v/>
      </c>
      <c r="B1017" s="10">
        <f>INDEX(Precos!$B1017:$I1017,MATCH(Premissas!$B$8,Precos!$B$3:$I$3,0))</f>
        <v/>
      </c>
      <c r="C1017" s="10">
        <f>IF(AND(Premissas!$B$10&gt;1,A1017&lt;Premissas!$B$9),B1017*Premissas!$B$10,B1017)</f>
        <v/>
      </c>
      <c r="D1017" s="12" t="n"/>
      <c r="E1017" s="10">
        <f>Precos!J1017</f>
        <v/>
      </c>
      <c r="F1017" s="12" t="n"/>
    </row>
    <row r="1018">
      <c r="A1018" s="9">
        <f>Precos!A1018</f>
        <v/>
      </c>
      <c r="B1018" s="10">
        <f>INDEX(Precos!$B1018:$I1018,MATCH(Premissas!$B$8,Precos!$B$3:$I$3,0))</f>
        <v/>
      </c>
      <c r="C1018" s="10">
        <f>IF(AND(Premissas!$B$10&gt;1,A1018&lt;Premissas!$B$9),B1018*Premissas!$B$10,B1018)</f>
        <v/>
      </c>
      <c r="D1018" s="12" t="n"/>
      <c r="E1018" s="10">
        <f>Precos!J1018</f>
        <v/>
      </c>
      <c r="F1018" s="12" t="n"/>
    </row>
    <row r="1019">
      <c r="A1019" s="9">
        <f>Precos!A1019</f>
        <v/>
      </c>
      <c r="B1019" s="10">
        <f>INDEX(Precos!$B1019:$I1019,MATCH(Premissas!$B$8,Precos!$B$3:$I$3,0))</f>
        <v/>
      </c>
      <c r="C1019" s="10">
        <f>IF(AND(Premissas!$B$10&gt;1,A1019&lt;Premissas!$B$9),B1019*Premissas!$B$10,B1019)</f>
        <v/>
      </c>
      <c r="D1019" s="12" t="n"/>
      <c r="E1019" s="10">
        <f>Precos!J1019</f>
        <v/>
      </c>
      <c r="F1019" s="12" t="n"/>
    </row>
    <row r="1020">
      <c r="A1020" s="9">
        <f>Precos!A1020</f>
        <v/>
      </c>
      <c r="B1020" s="10">
        <f>INDEX(Precos!$B1020:$I1020,MATCH(Premissas!$B$8,Precos!$B$3:$I$3,0))</f>
        <v/>
      </c>
      <c r="C1020" s="10">
        <f>IF(AND(Premissas!$B$10&gt;1,A1020&lt;Premissas!$B$9),B1020*Premissas!$B$10,B1020)</f>
        <v/>
      </c>
      <c r="D1020" s="12" t="n"/>
      <c r="E1020" s="10">
        <f>Precos!J1020</f>
        <v/>
      </c>
      <c r="F1020" s="12" t="n"/>
    </row>
    <row r="1021">
      <c r="A1021" s="9">
        <f>Precos!A1021</f>
        <v/>
      </c>
      <c r="B1021" s="10">
        <f>INDEX(Precos!$B1021:$I1021,MATCH(Premissas!$B$8,Precos!$B$3:$I$3,0))</f>
        <v/>
      </c>
      <c r="C1021" s="10">
        <f>IF(AND(Premissas!$B$10&gt;1,A1021&lt;Premissas!$B$9),B1021*Premissas!$B$10,B1021)</f>
        <v/>
      </c>
      <c r="D1021" s="12" t="n"/>
      <c r="E1021" s="10">
        <f>Precos!J1021</f>
        <v/>
      </c>
      <c r="F1021" s="12" t="n"/>
    </row>
    <row r="1022">
      <c r="A1022" s="9">
        <f>Precos!A1022</f>
        <v/>
      </c>
      <c r="B1022" s="10">
        <f>INDEX(Precos!$B1022:$I1022,MATCH(Premissas!$B$8,Precos!$B$3:$I$3,0))</f>
        <v/>
      </c>
      <c r="C1022" s="10">
        <f>IF(AND(Premissas!$B$10&gt;1,A1022&lt;Premissas!$B$9),B1022*Premissas!$B$10,B1022)</f>
        <v/>
      </c>
      <c r="D1022" s="12" t="n"/>
      <c r="E1022" s="10">
        <f>Precos!J1022</f>
        <v/>
      </c>
      <c r="F1022" s="12" t="n"/>
    </row>
    <row r="1023">
      <c r="A1023" s="9">
        <f>Precos!A1023</f>
        <v/>
      </c>
      <c r="B1023" s="10">
        <f>INDEX(Precos!$B1023:$I1023,MATCH(Premissas!$B$8,Precos!$B$3:$I$3,0))</f>
        <v/>
      </c>
      <c r="C1023" s="10">
        <f>IF(AND(Premissas!$B$10&gt;1,A1023&lt;Premissas!$B$9),B1023*Premissas!$B$10,B1023)</f>
        <v/>
      </c>
      <c r="D1023" s="12" t="n"/>
      <c r="E1023" s="10">
        <f>Precos!J1023</f>
        <v/>
      </c>
      <c r="F1023" s="12" t="n"/>
    </row>
    <row r="1024">
      <c r="A1024" s="9">
        <f>Precos!A1024</f>
        <v/>
      </c>
      <c r="B1024" s="10">
        <f>INDEX(Precos!$B1024:$I1024,MATCH(Premissas!$B$8,Precos!$B$3:$I$3,0))</f>
        <v/>
      </c>
      <c r="C1024" s="10">
        <f>IF(AND(Premissas!$B$10&gt;1,A1024&lt;Premissas!$B$9),B1024*Premissas!$B$10,B1024)</f>
        <v/>
      </c>
      <c r="D1024" s="12" t="n"/>
      <c r="E1024" s="10">
        <f>Precos!J1024</f>
        <v/>
      </c>
      <c r="F1024" s="12" t="n"/>
    </row>
    <row r="1025">
      <c r="A1025" s="9">
        <f>Precos!A1025</f>
        <v/>
      </c>
      <c r="B1025" s="10">
        <f>INDEX(Precos!$B1025:$I1025,MATCH(Premissas!$B$8,Precos!$B$3:$I$3,0))</f>
        <v/>
      </c>
      <c r="C1025" s="10">
        <f>IF(AND(Premissas!$B$10&gt;1,A1025&lt;Premissas!$B$9),B1025*Premissas!$B$10,B1025)</f>
        <v/>
      </c>
      <c r="D1025" s="12" t="n"/>
      <c r="E1025" s="10">
        <f>Precos!J1025</f>
        <v/>
      </c>
      <c r="F1025" s="12" t="n"/>
    </row>
    <row r="1026">
      <c r="A1026" s="9">
        <f>Precos!A1026</f>
        <v/>
      </c>
      <c r="B1026" s="10">
        <f>INDEX(Precos!$B1026:$I1026,MATCH(Premissas!$B$8,Precos!$B$3:$I$3,0))</f>
        <v/>
      </c>
      <c r="C1026" s="10">
        <f>IF(AND(Premissas!$B$10&gt;1,A1026&lt;Premissas!$B$9),B1026*Premissas!$B$10,B1026)</f>
        <v/>
      </c>
      <c r="D1026" s="12" t="n"/>
      <c r="E1026" s="10">
        <f>Precos!J1026</f>
        <v/>
      </c>
      <c r="F1026" s="12" t="n"/>
    </row>
    <row r="1027">
      <c r="A1027" s="9">
        <f>Precos!A1027</f>
        <v/>
      </c>
      <c r="B1027" s="10">
        <f>INDEX(Precos!$B1027:$I1027,MATCH(Premissas!$B$8,Precos!$B$3:$I$3,0))</f>
        <v/>
      </c>
      <c r="C1027" s="10">
        <f>IF(AND(Premissas!$B$10&gt;1,A1027&lt;Premissas!$B$9),B1027*Premissas!$B$10,B1027)</f>
        <v/>
      </c>
      <c r="D1027" s="12" t="n"/>
      <c r="E1027" s="10">
        <f>Precos!J1027</f>
        <v/>
      </c>
      <c r="F1027" s="12" t="n"/>
    </row>
    <row r="1028">
      <c r="A1028" s="9">
        <f>Precos!A1028</f>
        <v/>
      </c>
      <c r="B1028" s="10">
        <f>INDEX(Precos!$B1028:$I1028,MATCH(Premissas!$B$8,Precos!$B$3:$I$3,0))</f>
        <v/>
      </c>
      <c r="C1028" s="10">
        <f>IF(AND(Premissas!$B$10&gt;1,A1028&lt;Premissas!$B$9),B1028*Premissas!$B$10,B1028)</f>
        <v/>
      </c>
      <c r="D1028" s="12" t="n"/>
      <c r="E1028" s="10">
        <f>Precos!J1028</f>
        <v/>
      </c>
      <c r="F1028" s="12" t="n"/>
    </row>
    <row r="1029">
      <c r="A1029" s="9">
        <f>Precos!A1029</f>
        <v/>
      </c>
      <c r="B1029" s="10">
        <f>INDEX(Precos!$B1029:$I1029,MATCH(Premissas!$B$8,Precos!$B$3:$I$3,0))</f>
        <v/>
      </c>
      <c r="C1029" s="10">
        <f>IF(AND(Premissas!$B$10&gt;1,A1029&lt;Premissas!$B$9),B1029*Premissas!$B$10,B1029)</f>
        <v/>
      </c>
      <c r="D1029" s="12" t="n"/>
      <c r="E1029" s="10">
        <f>Precos!J1029</f>
        <v/>
      </c>
      <c r="F1029" s="12" t="n"/>
    </row>
    <row r="1030">
      <c r="A1030" s="9">
        <f>Precos!A1030</f>
        <v/>
      </c>
      <c r="B1030" s="10">
        <f>INDEX(Precos!$B1030:$I1030,MATCH(Premissas!$B$8,Precos!$B$3:$I$3,0))</f>
        <v/>
      </c>
      <c r="C1030" s="10">
        <f>IF(AND(Premissas!$B$10&gt;1,A1030&lt;Premissas!$B$9),B1030*Premissas!$B$10,B1030)</f>
        <v/>
      </c>
      <c r="D1030" s="12" t="n"/>
      <c r="E1030" s="10">
        <f>Precos!J1030</f>
        <v/>
      </c>
      <c r="F1030" s="12" t="n"/>
    </row>
    <row r="1031">
      <c r="A1031" s="9">
        <f>Precos!A1031</f>
        <v/>
      </c>
      <c r="B1031" s="10">
        <f>INDEX(Precos!$B1031:$I1031,MATCH(Premissas!$B$8,Precos!$B$3:$I$3,0))</f>
        <v/>
      </c>
      <c r="C1031" s="10">
        <f>IF(AND(Premissas!$B$10&gt;1,A1031&lt;Premissas!$B$9),B1031*Premissas!$B$10,B1031)</f>
        <v/>
      </c>
      <c r="D1031" s="12" t="n"/>
      <c r="E1031" s="10">
        <f>Precos!J1031</f>
        <v/>
      </c>
      <c r="F1031" s="12" t="n"/>
    </row>
    <row r="1032">
      <c r="A1032" s="9">
        <f>Precos!A1032</f>
        <v/>
      </c>
      <c r="B1032" s="10">
        <f>INDEX(Precos!$B1032:$I1032,MATCH(Premissas!$B$8,Precos!$B$3:$I$3,0))</f>
        <v/>
      </c>
      <c r="C1032" s="10">
        <f>IF(AND(Premissas!$B$10&gt;1,A1032&lt;Premissas!$B$9),B1032*Premissas!$B$10,B1032)</f>
        <v/>
      </c>
      <c r="D1032" s="12" t="n"/>
      <c r="E1032" s="10">
        <f>Precos!J1032</f>
        <v/>
      </c>
      <c r="F1032" s="12" t="n"/>
    </row>
    <row r="1033">
      <c r="A1033" s="9">
        <f>Precos!A1033</f>
        <v/>
      </c>
      <c r="B1033" s="10">
        <f>INDEX(Precos!$B1033:$I1033,MATCH(Premissas!$B$8,Precos!$B$3:$I$3,0))</f>
        <v/>
      </c>
      <c r="C1033" s="10">
        <f>IF(AND(Premissas!$B$10&gt;1,A1033&lt;Premissas!$B$9),B1033*Premissas!$B$10,B1033)</f>
        <v/>
      </c>
      <c r="D1033" s="12" t="n"/>
      <c r="E1033" s="10">
        <f>Precos!J1033</f>
        <v/>
      </c>
      <c r="F1033" s="12" t="n"/>
    </row>
    <row r="1034">
      <c r="A1034" s="9">
        <f>Precos!A1034</f>
        <v/>
      </c>
      <c r="B1034" s="10">
        <f>INDEX(Precos!$B1034:$I1034,MATCH(Premissas!$B$8,Precos!$B$3:$I$3,0))</f>
        <v/>
      </c>
      <c r="C1034" s="10">
        <f>IF(AND(Premissas!$B$10&gt;1,A1034&lt;Premissas!$B$9),B1034*Premissas!$B$10,B1034)</f>
        <v/>
      </c>
      <c r="D1034" s="12" t="n"/>
      <c r="E1034" s="10">
        <f>Precos!J1034</f>
        <v/>
      </c>
      <c r="F1034" s="12" t="n"/>
    </row>
    <row r="1035">
      <c r="A1035" s="9">
        <f>Precos!A1035</f>
        <v/>
      </c>
      <c r="B1035" s="10">
        <f>INDEX(Precos!$B1035:$I1035,MATCH(Premissas!$B$8,Precos!$B$3:$I$3,0))</f>
        <v/>
      </c>
      <c r="C1035" s="10">
        <f>IF(AND(Premissas!$B$10&gt;1,A1035&lt;Premissas!$B$9),B1035*Premissas!$B$10,B1035)</f>
        <v/>
      </c>
      <c r="D1035" s="12" t="n"/>
      <c r="E1035" s="10">
        <f>Precos!J1035</f>
        <v/>
      </c>
      <c r="F1035" s="12" t="n"/>
    </row>
    <row r="1036">
      <c r="A1036" s="9">
        <f>Precos!A1036</f>
        <v/>
      </c>
      <c r="B1036" s="10">
        <f>INDEX(Precos!$B1036:$I1036,MATCH(Premissas!$B$8,Precos!$B$3:$I$3,0))</f>
        <v/>
      </c>
      <c r="C1036" s="10">
        <f>IF(AND(Premissas!$B$10&gt;1,A1036&lt;Premissas!$B$9),B1036*Premissas!$B$10,B1036)</f>
        <v/>
      </c>
      <c r="D1036" s="12" t="n"/>
      <c r="E1036" s="10">
        <f>Precos!J1036</f>
        <v/>
      </c>
      <c r="F1036" s="12" t="n"/>
    </row>
    <row r="1037">
      <c r="A1037" s="9">
        <f>Precos!A1037</f>
        <v/>
      </c>
      <c r="B1037" s="10">
        <f>INDEX(Precos!$B1037:$I1037,MATCH(Premissas!$B$8,Precos!$B$3:$I$3,0))</f>
        <v/>
      </c>
      <c r="C1037" s="10">
        <f>IF(AND(Premissas!$B$10&gt;1,A1037&lt;Premissas!$B$9),B1037*Premissas!$B$10,B1037)</f>
        <v/>
      </c>
      <c r="D1037" s="12" t="n"/>
      <c r="E1037" s="10">
        <f>Precos!J1037</f>
        <v/>
      </c>
      <c r="F1037" s="12" t="n"/>
    </row>
    <row r="1038">
      <c r="A1038" s="9">
        <f>Precos!A1038</f>
        <v/>
      </c>
      <c r="B1038" s="10">
        <f>INDEX(Precos!$B1038:$I1038,MATCH(Premissas!$B$8,Precos!$B$3:$I$3,0))</f>
        <v/>
      </c>
      <c r="C1038" s="10">
        <f>IF(AND(Premissas!$B$10&gt;1,A1038&lt;Premissas!$B$9),B1038*Premissas!$B$10,B1038)</f>
        <v/>
      </c>
      <c r="D1038" s="12" t="n"/>
      <c r="E1038" s="10">
        <f>Precos!J1038</f>
        <v/>
      </c>
      <c r="F1038" s="12" t="n"/>
    </row>
    <row r="1039">
      <c r="A1039" s="9">
        <f>Precos!A1039</f>
        <v/>
      </c>
      <c r="B1039" s="10">
        <f>INDEX(Precos!$B1039:$I1039,MATCH(Premissas!$B$8,Precos!$B$3:$I$3,0))</f>
        <v/>
      </c>
      <c r="C1039" s="10">
        <f>IF(AND(Premissas!$B$10&gt;1,A1039&lt;Premissas!$B$9),B1039*Premissas!$B$10,B1039)</f>
        <v/>
      </c>
      <c r="D1039" s="12" t="n"/>
      <c r="E1039" s="10">
        <f>Precos!J1039</f>
        <v/>
      </c>
      <c r="F1039" s="12" t="n"/>
    </row>
    <row r="1040">
      <c r="A1040" s="9">
        <f>Precos!A1040</f>
        <v/>
      </c>
      <c r="B1040" s="10">
        <f>INDEX(Precos!$B1040:$I1040,MATCH(Premissas!$B$8,Precos!$B$3:$I$3,0))</f>
        <v/>
      </c>
      <c r="C1040" s="10">
        <f>IF(AND(Premissas!$B$10&gt;1,A1040&lt;Premissas!$B$9),B1040*Premissas!$B$10,B1040)</f>
        <v/>
      </c>
      <c r="D1040" s="12" t="n"/>
      <c r="E1040" s="10">
        <f>Precos!J1040</f>
        <v/>
      </c>
      <c r="F1040" s="12" t="n"/>
    </row>
    <row r="1041">
      <c r="A1041" s="9">
        <f>Precos!A1041</f>
        <v/>
      </c>
      <c r="B1041" s="10">
        <f>INDEX(Precos!$B1041:$I1041,MATCH(Premissas!$B$8,Precos!$B$3:$I$3,0))</f>
        <v/>
      </c>
      <c r="C1041" s="10">
        <f>IF(AND(Premissas!$B$10&gt;1,A1041&lt;Premissas!$B$9),B1041*Premissas!$B$10,B1041)</f>
        <v/>
      </c>
      <c r="D1041" s="12" t="n"/>
      <c r="E1041" s="10">
        <f>Precos!J1041</f>
        <v/>
      </c>
      <c r="F1041" s="12" t="n"/>
    </row>
    <row r="1042">
      <c r="A1042" s="9">
        <f>Precos!A1042</f>
        <v/>
      </c>
      <c r="B1042" s="10">
        <f>INDEX(Precos!$B1042:$I1042,MATCH(Premissas!$B$8,Precos!$B$3:$I$3,0))</f>
        <v/>
      </c>
      <c r="C1042" s="10">
        <f>IF(AND(Premissas!$B$10&gt;1,A1042&lt;Premissas!$B$9),B1042*Premissas!$B$10,B1042)</f>
        <v/>
      </c>
      <c r="D1042" s="12" t="n"/>
      <c r="E1042" s="10">
        <f>Precos!J1042</f>
        <v/>
      </c>
      <c r="F1042" s="12" t="n"/>
    </row>
    <row r="1043">
      <c r="A1043" s="9">
        <f>Precos!A1043</f>
        <v/>
      </c>
      <c r="B1043" s="10">
        <f>INDEX(Precos!$B1043:$I1043,MATCH(Premissas!$B$8,Precos!$B$3:$I$3,0))</f>
        <v/>
      </c>
      <c r="C1043" s="10">
        <f>IF(AND(Premissas!$B$10&gt;1,A1043&lt;Premissas!$B$9),B1043*Premissas!$B$10,B1043)</f>
        <v/>
      </c>
      <c r="D1043" s="12" t="n"/>
      <c r="E1043" s="10">
        <f>Precos!J1043</f>
        <v/>
      </c>
      <c r="F1043" s="12" t="n"/>
    </row>
    <row r="1044">
      <c r="A1044" s="9">
        <f>Precos!A1044</f>
        <v/>
      </c>
      <c r="B1044" s="10">
        <f>INDEX(Precos!$B1044:$I1044,MATCH(Premissas!$B$8,Precos!$B$3:$I$3,0))</f>
        <v/>
      </c>
      <c r="C1044" s="10">
        <f>IF(AND(Premissas!$B$10&gt;1,A1044&lt;Premissas!$B$9),B1044*Premissas!$B$10,B1044)</f>
        <v/>
      </c>
      <c r="D1044" s="12" t="n"/>
      <c r="E1044" s="10">
        <f>Precos!J1044</f>
        <v/>
      </c>
      <c r="F1044" s="12" t="n"/>
    </row>
    <row r="1045">
      <c r="A1045" s="9">
        <f>Precos!A1045</f>
        <v/>
      </c>
      <c r="B1045" s="10">
        <f>INDEX(Precos!$B1045:$I1045,MATCH(Premissas!$B$8,Precos!$B$3:$I$3,0))</f>
        <v/>
      </c>
      <c r="C1045" s="10">
        <f>IF(AND(Premissas!$B$10&gt;1,A1045&lt;Premissas!$B$9),B1045*Premissas!$B$10,B1045)</f>
        <v/>
      </c>
      <c r="D1045" s="12" t="n"/>
      <c r="E1045" s="10">
        <f>Precos!J1045</f>
        <v/>
      </c>
      <c r="F1045" s="12" t="n"/>
    </row>
    <row r="1046">
      <c r="A1046" s="9">
        <f>Precos!A1046</f>
        <v/>
      </c>
      <c r="B1046" s="10">
        <f>INDEX(Precos!$B1046:$I1046,MATCH(Premissas!$B$8,Precos!$B$3:$I$3,0))</f>
        <v/>
      </c>
      <c r="C1046" s="10">
        <f>IF(AND(Premissas!$B$10&gt;1,A1046&lt;Premissas!$B$9),B1046*Premissas!$B$10,B1046)</f>
        <v/>
      </c>
      <c r="D1046" s="12" t="n"/>
      <c r="E1046" s="10">
        <f>Precos!J1046</f>
        <v/>
      </c>
      <c r="F1046" s="12" t="n"/>
    </row>
    <row r="1047">
      <c r="A1047" s="9">
        <f>Precos!A1047</f>
        <v/>
      </c>
      <c r="B1047" s="10">
        <f>INDEX(Precos!$B1047:$I1047,MATCH(Premissas!$B$8,Precos!$B$3:$I$3,0))</f>
        <v/>
      </c>
      <c r="C1047" s="10">
        <f>IF(AND(Premissas!$B$10&gt;1,A1047&lt;Premissas!$B$9),B1047*Premissas!$B$10,B1047)</f>
        <v/>
      </c>
      <c r="D1047" s="12" t="n"/>
      <c r="E1047" s="10">
        <f>Precos!J1047</f>
        <v/>
      </c>
      <c r="F1047" s="12" t="n"/>
    </row>
    <row r="1048">
      <c r="A1048" s="9">
        <f>Precos!A1048</f>
        <v/>
      </c>
      <c r="B1048" s="10">
        <f>INDEX(Precos!$B1048:$I1048,MATCH(Premissas!$B$8,Precos!$B$3:$I$3,0))</f>
        <v/>
      </c>
      <c r="C1048" s="10">
        <f>IF(AND(Premissas!$B$10&gt;1,A1048&lt;Premissas!$B$9),B1048*Premissas!$B$10,B1048)</f>
        <v/>
      </c>
      <c r="D1048" s="12" t="n"/>
      <c r="E1048" s="10">
        <f>Precos!J1048</f>
        <v/>
      </c>
      <c r="F1048" s="12" t="n"/>
    </row>
    <row r="1049">
      <c r="A1049" s="9">
        <f>Precos!A1049</f>
        <v/>
      </c>
      <c r="B1049" s="10">
        <f>INDEX(Precos!$B1049:$I1049,MATCH(Premissas!$B$8,Precos!$B$3:$I$3,0))</f>
        <v/>
      </c>
      <c r="C1049" s="10">
        <f>IF(AND(Premissas!$B$10&gt;1,A1049&lt;Premissas!$B$9),B1049*Premissas!$B$10,B1049)</f>
        <v/>
      </c>
      <c r="D1049" s="12" t="n"/>
      <c r="E1049" s="10">
        <f>Precos!J1049</f>
        <v/>
      </c>
      <c r="F1049" s="12" t="n"/>
    </row>
    <row r="1050">
      <c r="A1050" s="9">
        <f>Precos!A1050</f>
        <v/>
      </c>
      <c r="B1050" s="10">
        <f>INDEX(Precos!$B1050:$I1050,MATCH(Premissas!$B$8,Precos!$B$3:$I$3,0))</f>
        <v/>
      </c>
      <c r="C1050" s="10">
        <f>IF(AND(Premissas!$B$10&gt;1,A1050&lt;Premissas!$B$9),B1050*Premissas!$B$10,B1050)</f>
        <v/>
      </c>
      <c r="D1050" s="12" t="n"/>
      <c r="E1050" s="10">
        <f>Precos!J1050</f>
        <v/>
      </c>
      <c r="F1050" s="12" t="n"/>
    </row>
    <row r="1051">
      <c r="A1051" s="9">
        <f>Precos!A1051</f>
        <v/>
      </c>
      <c r="B1051" s="10">
        <f>INDEX(Precos!$B1051:$I1051,MATCH(Premissas!$B$8,Precos!$B$3:$I$3,0))</f>
        <v/>
      </c>
      <c r="C1051" s="10">
        <f>IF(AND(Premissas!$B$10&gt;1,A1051&lt;Premissas!$B$9),B1051*Premissas!$B$10,B1051)</f>
        <v/>
      </c>
      <c r="D1051" s="12" t="n"/>
      <c r="E1051" s="10">
        <f>Precos!J1051</f>
        <v/>
      </c>
      <c r="F1051" s="12" t="n"/>
    </row>
    <row r="1052">
      <c r="A1052" s="9">
        <f>Precos!A1052</f>
        <v/>
      </c>
      <c r="B1052" s="10">
        <f>INDEX(Precos!$B1052:$I1052,MATCH(Premissas!$B$8,Precos!$B$3:$I$3,0))</f>
        <v/>
      </c>
      <c r="C1052" s="10">
        <f>IF(AND(Premissas!$B$10&gt;1,A1052&lt;Premissas!$B$9),B1052*Premissas!$B$10,B1052)</f>
        <v/>
      </c>
      <c r="D1052" s="12" t="n"/>
      <c r="E1052" s="10">
        <f>Precos!J1052</f>
        <v/>
      </c>
      <c r="F1052" s="12" t="n"/>
    </row>
    <row r="1053">
      <c r="A1053" s="9">
        <f>Precos!A1053</f>
        <v/>
      </c>
      <c r="B1053" s="10">
        <f>INDEX(Precos!$B1053:$I1053,MATCH(Premissas!$B$8,Precos!$B$3:$I$3,0))</f>
        <v/>
      </c>
      <c r="C1053" s="10">
        <f>IF(AND(Premissas!$B$10&gt;1,A1053&lt;Premissas!$B$9),B1053*Premissas!$B$10,B1053)</f>
        <v/>
      </c>
      <c r="D1053" s="12" t="n"/>
      <c r="E1053" s="10">
        <f>Precos!J1053</f>
        <v/>
      </c>
      <c r="F1053" s="12" t="n"/>
    </row>
    <row r="1054">
      <c r="A1054" s="9">
        <f>Precos!A1054</f>
        <v/>
      </c>
      <c r="B1054" s="10">
        <f>INDEX(Precos!$B1054:$I1054,MATCH(Premissas!$B$8,Precos!$B$3:$I$3,0))</f>
        <v/>
      </c>
      <c r="C1054" s="10">
        <f>IF(AND(Premissas!$B$10&gt;1,A1054&lt;Premissas!$B$9),B1054*Premissas!$B$10,B1054)</f>
        <v/>
      </c>
      <c r="D1054" s="12" t="n"/>
      <c r="E1054" s="10">
        <f>Precos!J1054</f>
        <v/>
      </c>
      <c r="F1054" s="12" t="n"/>
    </row>
    <row r="1055">
      <c r="A1055" s="9">
        <f>Precos!A1055</f>
        <v/>
      </c>
      <c r="B1055" s="10">
        <f>INDEX(Precos!$B1055:$I1055,MATCH(Premissas!$B$8,Precos!$B$3:$I$3,0))</f>
        <v/>
      </c>
      <c r="C1055" s="10">
        <f>IF(AND(Premissas!$B$10&gt;1,A1055&lt;Premissas!$B$9),B1055*Premissas!$B$10,B1055)</f>
        <v/>
      </c>
      <c r="D1055" s="12" t="n"/>
      <c r="E1055" s="10">
        <f>Precos!J1055</f>
        <v/>
      </c>
      <c r="F1055" s="12" t="n"/>
    </row>
    <row r="1056">
      <c r="A1056" s="9">
        <f>Precos!A1056</f>
        <v/>
      </c>
      <c r="B1056" s="10">
        <f>INDEX(Precos!$B1056:$I1056,MATCH(Premissas!$B$8,Precos!$B$3:$I$3,0))</f>
        <v/>
      </c>
      <c r="C1056" s="10">
        <f>IF(AND(Premissas!$B$10&gt;1,A1056&lt;Premissas!$B$9),B1056*Premissas!$B$10,B1056)</f>
        <v/>
      </c>
      <c r="D1056" s="12" t="n"/>
      <c r="E1056" s="10">
        <f>Precos!J1056</f>
        <v/>
      </c>
      <c r="F1056" s="12" t="n"/>
    </row>
    <row r="1057">
      <c r="A1057" s="9">
        <f>Precos!A1057</f>
        <v/>
      </c>
      <c r="B1057" s="10">
        <f>INDEX(Precos!$B1057:$I1057,MATCH(Premissas!$B$8,Precos!$B$3:$I$3,0))</f>
        <v/>
      </c>
      <c r="C1057" s="10">
        <f>IF(AND(Premissas!$B$10&gt;1,A1057&lt;Premissas!$B$9),B1057*Premissas!$B$10,B1057)</f>
        <v/>
      </c>
      <c r="D1057" s="12" t="n"/>
      <c r="E1057" s="10">
        <f>Precos!J1057</f>
        <v/>
      </c>
      <c r="F1057" s="12" t="n"/>
    </row>
    <row r="1058">
      <c r="A1058" s="9">
        <f>Precos!A1058</f>
        <v/>
      </c>
      <c r="B1058" s="10">
        <f>INDEX(Precos!$B1058:$I1058,MATCH(Premissas!$B$8,Precos!$B$3:$I$3,0))</f>
        <v/>
      </c>
      <c r="C1058" s="10">
        <f>IF(AND(Premissas!$B$10&gt;1,A1058&lt;Premissas!$B$9),B1058*Premissas!$B$10,B1058)</f>
        <v/>
      </c>
      <c r="D1058" s="12" t="n"/>
      <c r="E1058" s="10">
        <f>Precos!J1058</f>
        <v/>
      </c>
      <c r="F1058" s="12" t="n"/>
    </row>
    <row r="1059">
      <c r="A1059" s="9">
        <f>Precos!A1059</f>
        <v/>
      </c>
      <c r="B1059" s="10">
        <f>INDEX(Precos!$B1059:$I1059,MATCH(Premissas!$B$8,Precos!$B$3:$I$3,0))</f>
        <v/>
      </c>
      <c r="C1059" s="10">
        <f>IF(AND(Premissas!$B$10&gt;1,A1059&lt;Premissas!$B$9),B1059*Premissas!$B$10,B1059)</f>
        <v/>
      </c>
      <c r="D1059" s="12" t="n"/>
      <c r="E1059" s="10">
        <f>Precos!J1059</f>
        <v/>
      </c>
      <c r="F1059" s="12" t="n"/>
    </row>
    <row r="1060">
      <c r="A1060" s="9">
        <f>Precos!A1060</f>
        <v/>
      </c>
      <c r="B1060" s="10">
        <f>INDEX(Precos!$B1060:$I1060,MATCH(Premissas!$B$8,Precos!$B$3:$I$3,0))</f>
        <v/>
      </c>
      <c r="C1060" s="10">
        <f>IF(AND(Premissas!$B$10&gt;1,A1060&lt;Premissas!$B$9),B1060*Premissas!$B$10,B1060)</f>
        <v/>
      </c>
      <c r="D1060" s="12" t="n"/>
      <c r="E1060" s="10">
        <f>Precos!J1060</f>
        <v/>
      </c>
      <c r="F1060" s="12" t="n"/>
    </row>
    <row r="1061">
      <c r="A1061" s="9">
        <f>Precos!A1061</f>
        <v/>
      </c>
      <c r="B1061" s="10">
        <f>INDEX(Precos!$B1061:$I1061,MATCH(Premissas!$B$8,Precos!$B$3:$I$3,0))</f>
        <v/>
      </c>
      <c r="C1061" s="10">
        <f>IF(AND(Premissas!$B$10&gt;1,A1061&lt;Premissas!$B$9),B1061*Premissas!$B$10,B1061)</f>
        <v/>
      </c>
      <c r="D1061" s="12" t="n"/>
      <c r="E1061" s="10">
        <f>Precos!J1061</f>
        <v/>
      </c>
      <c r="F1061" s="12" t="n"/>
    </row>
    <row r="1062">
      <c r="A1062" s="9">
        <f>Precos!A1062</f>
        <v/>
      </c>
      <c r="B1062" s="10">
        <f>INDEX(Precos!$B1062:$I1062,MATCH(Premissas!$B$8,Precos!$B$3:$I$3,0))</f>
        <v/>
      </c>
      <c r="C1062" s="10">
        <f>IF(AND(Premissas!$B$10&gt;1,A1062&lt;Premissas!$B$9),B1062*Premissas!$B$10,B1062)</f>
        <v/>
      </c>
      <c r="D1062" s="12" t="n"/>
      <c r="E1062" s="10">
        <f>Precos!J1062</f>
        <v/>
      </c>
      <c r="F1062" s="12" t="n"/>
    </row>
    <row r="1063">
      <c r="A1063" s="9">
        <f>Precos!A1063</f>
        <v/>
      </c>
      <c r="B1063" s="10">
        <f>INDEX(Precos!$B1063:$I1063,MATCH(Premissas!$B$8,Precos!$B$3:$I$3,0))</f>
        <v/>
      </c>
      <c r="C1063" s="10">
        <f>IF(AND(Premissas!$B$10&gt;1,A1063&lt;Premissas!$B$9),B1063*Premissas!$B$10,B1063)</f>
        <v/>
      </c>
      <c r="D1063" s="12" t="n"/>
      <c r="E1063" s="10">
        <f>Precos!J1063</f>
        <v/>
      </c>
      <c r="F1063" s="12" t="n"/>
    </row>
    <row r="1064">
      <c r="A1064" s="9">
        <f>Precos!A1064</f>
        <v/>
      </c>
      <c r="B1064" s="10">
        <f>INDEX(Precos!$B1064:$I1064,MATCH(Premissas!$B$8,Precos!$B$3:$I$3,0))</f>
        <v/>
      </c>
      <c r="C1064" s="10">
        <f>IF(AND(Premissas!$B$10&gt;1,A1064&lt;Premissas!$B$9),B1064*Premissas!$B$10,B1064)</f>
        <v/>
      </c>
      <c r="D1064" s="12" t="n"/>
      <c r="E1064" s="10">
        <f>Precos!J1064</f>
        <v/>
      </c>
      <c r="F1064" s="12" t="n"/>
    </row>
    <row r="1065">
      <c r="A1065" s="9">
        <f>Precos!A1065</f>
        <v/>
      </c>
      <c r="B1065" s="10">
        <f>INDEX(Precos!$B1065:$I1065,MATCH(Premissas!$B$8,Precos!$B$3:$I$3,0))</f>
        <v/>
      </c>
      <c r="C1065" s="10">
        <f>IF(AND(Premissas!$B$10&gt;1,A1065&lt;Premissas!$B$9),B1065*Premissas!$B$10,B1065)</f>
        <v/>
      </c>
      <c r="D1065" s="12" t="n"/>
      <c r="E1065" s="10">
        <f>Precos!J1065</f>
        <v/>
      </c>
      <c r="F1065" s="12" t="n"/>
    </row>
    <row r="1066">
      <c r="A1066" s="9">
        <f>Precos!A1066</f>
        <v/>
      </c>
      <c r="B1066" s="10">
        <f>INDEX(Precos!$B1066:$I1066,MATCH(Premissas!$B$8,Precos!$B$3:$I$3,0))</f>
        <v/>
      </c>
      <c r="C1066" s="10">
        <f>IF(AND(Premissas!$B$10&gt;1,A1066&lt;Premissas!$B$9),B1066*Premissas!$B$10,B1066)</f>
        <v/>
      </c>
      <c r="D1066" s="12" t="n"/>
      <c r="E1066" s="10">
        <f>Precos!J1066</f>
        <v/>
      </c>
      <c r="F1066" s="12" t="n"/>
    </row>
    <row r="1067">
      <c r="A1067" s="9">
        <f>Precos!A1067</f>
        <v/>
      </c>
      <c r="B1067" s="10">
        <f>INDEX(Precos!$B1067:$I1067,MATCH(Premissas!$B$8,Precos!$B$3:$I$3,0))</f>
        <v/>
      </c>
      <c r="C1067" s="10">
        <f>IF(AND(Premissas!$B$10&gt;1,A1067&lt;Premissas!$B$9),B1067*Premissas!$B$10,B1067)</f>
        <v/>
      </c>
      <c r="D1067" s="12" t="n"/>
      <c r="E1067" s="10">
        <f>Precos!J1067</f>
        <v/>
      </c>
      <c r="F1067" s="12" t="n"/>
    </row>
    <row r="1068">
      <c r="A1068" s="9">
        <f>Precos!A1068</f>
        <v/>
      </c>
      <c r="B1068" s="10">
        <f>INDEX(Precos!$B1068:$I1068,MATCH(Premissas!$B$8,Precos!$B$3:$I$3,0))</f>
        <v/>
      </c>
      <c r="C1068" s="10">
        <f>IF(AND(Premissas!$B$10&gt;1,A1068&lt;Premissas!$B$9),B1068*Premissas!$B$10,B1068)</f>
        <v/>
      </c>
      <c r="D1068" s="12" t="n"/>
      <c r="E1068" s="10">
        <f>Precos!J1068</f>
        <v/>
      </c>
      <c r="F1068" s="12" t="n"/>
    </row>
    <row r="1069">
      <c r="A1069" s="9">
        <f>Precos!A1069</f>
        <v/>
      </c>
      <c r="B1069" s="10">
        <f>INDEX(Precos!$B1069:$I1069,MATCH(Premissas!$B$8,Precos!$B$3:$I$3,0))</f>
        <v/>
      </c>
      <c r="C1069" s="10">
        <f>IF(AND(Premissas!$B$10&gt;1,A1069&lt;Premissas!$B$9),B1069*Premissas!$B$10,B1069)</f>
        <v/>
      </c>
      <c r="D1069" s="12" t="n"/>
      <c r="E1069" s="10">
        <f>Precos!J1069</f>
        <v/>
      </c>
      <c r="F1069" s="12" t="n"/>
    </row>
    <row r="1070">
      <c r="A1070" s="9">
        <f>Precos!A1070</f>
        <v/>
      </c>
      <c r="B1070" s="10">
        <f>INDEX(Precos!$B1070:$I1070,MATCH(Premissas!$B$8,Precos!$B$3:$I$3,0))</f>
        <v/>
      </c>
      <c r="C1070" s="10">
        <f>IF(AND(Premissas!$B$10&gt;1,A1070&lt;Premissas!$B$9),B1070*Premissas!$B$10,B1070)</f>
        <v/>
      </c>
      <c r="D1070" s="12" t="n"/>
      <c r="E1070" s="10">
        <f>Precos!J1070</f>
        <v/>
      </c>
      <c r="F1070" s="12" t="n"/>
    </row>
    <row r="1071">
      <c r="A1071" s="9">
        <f>Precos!A1071</f>
        <v/>
      </c>
      <c r="B1071" s="10">
        <f>INDEX(Precos!$B1071:$I1071,MATCH(Premissas!$B$8,Precos!$B$3:$I$3,0))</f>
        <v/>
      </c>
      <c r="C1071" s="10">
        <f>IF(AND(Premissas!$B$10&gt;1,A1071&lt;Premissas!$B$9),B1071*Premissas!$B$10,B1071)</f>
        <v/>
      </c>
      <c r="D1071" s="12" t="n"/>
      <c r="E1071" s="10">
        <f>Precos!J1071</f>
        <v/>
      </c>
      <c r="F1071" s="12" t="n"/>
    </row>
    <row r="1072">
      <c r="A1072" s="9">
        <f>Precos!A1072</f>
        <v/>
      </c>
      <c r="B1072" s="10">
        <f>INDEX(Precos!$B1072:$I1072,MATCH(Premissas!$B$8,Precos!$B$3:$I$3,0))</f>
        <v/>
      </c>
      <c r="C1072" s="10">
        <f>IF(AND(Premissas!$B$10&gt;1,A1072&lt;Premissas!$B$9),B1072*Premissas!$B$10,B1072)</f>
        <v/>
      </c>
      <c r="D1072" s="12" t="n"/>
      <c r="E1072" s="10">
        <f>Precos!J1072</f>
        <v/>
      </c>
      <c r="F1072" s="12" t="n"/>
    </row>
    <row r="1073">
      <c r="A1073" s="9">
        <f>Precos!A1073</f>
        <v/>
      </c>
      <c r="B1073" s="10">
        <f>INDEX(Precos!$B1073:$I1073,MATCH(Premissas!$B$8,Precos!$B$3:$I$3,0))</f>
        <v/>
      </c>
      <c r="C1073" s="10">
        <f>IF(AND(Premissas!$B$10&gt;1,A1073&lt;Premissas!$B$9),B1073*Premissas!$B$10,B1073)</f>
        <v/>
      </c>
      <c r="D1073" s="12" t="n"/>
      <c r="E1073" s="10">
        <f>Precos!J1073</f>
        <v/>
      </c>
      <c r="F1073" s="12" t="n"/>
    </row>
    <row r="1074">
      <c r="A1074" s="9">
        <f>Precos!A1074</f>
        <v/>
      </c>
      <c r="B1074" s="10">
        <f>INDEX(Precos!$B1074:$I1074,MATCH(Premissas!$B$8,Precos!$B$3:$I$3,0))</f>
        <v/>
      </c>
      <c r="C1074" s="10">
        <f>IF(AND(Premissas!$B$10&gt;1,A1074&lt;Premissas!$B$9),B1074*Premissas!$B$10,B1074)</f>
        <v/>
      </c>
      <c r="D1074" s="12" t="n"/>
      <c r="E1074" s="10">
        <f>Precos!J1074</f>
        <v/>
      </c>
      <c r="F1074" s="12" t="n"/>
    </row>
    <row r="1075">
      <c r="A1075" s="9">
        <f>Precos!A1075</f>
        <v/>
      </c>
      <c r="B1075" s="10">
        <f>INDEX(Precos!$B1075:$I1075,MATCH(Premissas!$B$8,Precos!$B$3:$I$3,0))</f>
        <v/>
      </c>
      <c r="C1075" s="10">
        <f>IF(AND(Premissas!$B$10&gt;1,A1075&lt;Premissas!$B$9),B1075*Premissas!$B$10,B1075)</f>
        <v/>
      </c>
      <c r="D1075" s="12" t="n"/>
      <c r="E1075" s="10">
        <f>Precos!J1075</f>
        <v/>
      </c>
      <c r="F1075" s="12" t="n"/>
    </row>
    <row r="1076">
      <c r="A1076" s="9">
        <f>Precos!A1076</f>
        <v/>
      </c>
      <c r="B1076" s="10">
        <f>INDEX(Precos!$B1076:$I1076,MATCH(Premissas!$B$8,Precos!$B$3:$I$3,0))</f>
        <v/>
      </c>
      <c r="C1076" s="10">
        <f>IF(AND(Premissas!$B$10&gt;1,A1076&lt;Premissas!$B$9),B1076*Premissas!$B$10,B1076)</f>
        <v/>
      </c>
      <c r="D1076" s="12" t="n"/>
      <c r="E1076" s="10">
        <f>Precos!J1076</f>
        <v/>
      </c>
      <c r="F1076" s="12" t="n"/>
    </row>
    <row r="1077">
      <c r="A1077" s="9">
        <f>Precos!A1077</f>
        <v/>
      </c>
      <c r="B1077" s="10">
        <f>INDEX(Precos!$B1077:$I1077,MATCH(Premissas!$B$8,Precos!$B$3:$I$3,0))</f>
        <v/>
      </c>
      <c r="C1077" s="10">
        <f>IF(AND(Premissas!$B$10&gt;1,A1077&lt;Premissas!$B$9),B1077*Premissas!$B$10,B1077)</f>
        <v/>
      </c>
      <c r="D1077" s="12" t="n"/>
      <c r="E1077" s="10">
        <f>Precos!J1077</f>
        <v/>
      </c>
      <c r="F1077" s="12" t="n"/>
    </row>
    <row r="1078">
      <c r="A1078" s="9">
        <f>Precos!A1078</f>
        <v/>
      </c>
      <c r="B1078" s="10">
        <f>INDEX(Precos!$B1078:$I1078,MATCH(Premissas!$B$8,Precos!$B$3:$I$3,0))</f>
        <v/>
      </c>
      <c r="C1078" s="10">
        <f>IF(AND(Premissas!$B$10&gt;1,A1078&lt;Premissas!$B$9),B1078*Premissas!$B$10,B1078)</f>
        <v/>
      </c>
      <c r="D1078" s="12" t="n"/>
      <c r="E1078" s="10">
        <f>Precos!J1078</f>
        <v/>
      </c>
      <c r="F1078" s="12" t="n"/>
    </row>
    <row r="1079">
      <c r="A1079" s="9">
        <f>Precos!A1079</f>
        <v/>
      </c>
      <c r="B1079" s="10">
        <f>INDEX(Precos!$B1079:$I1079,MATCH(Premissas!$B$8,Precos!$B$3:$I$3,0))</f>
        <v/>
      </c>
      <c r="C1079" s="10">
        <f>IF(AND(Premissas!$B$10&gt;1,A1079&lt;Premissas!$B$9),B1079*Premissas!$B$10,B1079)</f>
        <v/>
      </c>
      <c r="D1079" s="12" t="n"/>
      <c r="E1079" s="10">
        <f>Precos!J1079</f>
        <v/>
      </c>
      <c r="F1079" s="12" t="n"/>
    </row>
    <row r="1080">
      <c r="A1080" s="9">
        <f>Precos!A1080</f>
        <v/>
      </c>
      <c r="B1080" s="10">
        <f>INDEX(Precos!$B1080:$I1080,MATCH(Premissas!$B$8,Precos!$B$3:$I$3,0))</f>
        <v/>
      </c>
      <c r="C1080" s="10">
        <f>IF(AND(Premissas!$B$10&gt;1,A1080&lt;Premissas!$B$9),B1080*Premissas!$B$10,B1080)</f>
        <v/>
      </c>
      <c r="D1080" s="12" t="n"/>
      <c r="E1080" s="10">
        <f>Precos!J1080</f>
        <v/>
      </c>
      <c r="F1080" s="12" t="n"/>
    </row>
    <row r="1081">
      <c r="A1081" s="9">
        <f>Precos!A1081</f>
        <v/>
      </c>
      <c r="B1081" s="10">
        <f>INDEX(Precos!$B1081:$I1081,MATCH(Premissas!$B$8,Precos!$B$3:$I$3,0))</f>
        <v/>
      </c>
      <c r="C1081" s="10">
        <f>IF(AND(Premissas!$B$10&gt;1,A1081&lt;Premissas!$B$9),B1081*Premissas!$B$10,B1081)</f>
        <v/>
      </c>
      <c r="D1081" s="12" t="n"/>
      <c r="E1081" s="10">
        <f>Precos!J1081</f>
        <v/>
      </c>
      <c r="F1081" s="12" t="n"/>
    </row>
    <row r="1082">
      <c r="A1082" s="9">
        <f>Precos!A1082</f>
        <v/>
      </c>
      <c r="B1082" s="10">
        <f>INDEX(Precos!$B1082:$I1082,MATCH(Premissas!$B$8,Precos!$B$3:$I$3,0))</f>
        <v/>
      </c>
      <c r="C1082" s="10">
        <f>IF(AND(Premissas!$B$10&gt;1,A1082&lt;Premissas!$B$9),B1082*Premissas!$B$10,B1082)</f>
        <v/>
      </c>
      <c r="D1082" s="12" t="n"/>
      <c r="E1082" s="10">
        <f>Precos!J1082</f>
        <v/>
      </c>
      <c r="F1082" s="12" t="n"/>
    </row>
    <row r="1083">
      <c r="A1083" s="9">
        <f>Precos!A1083</f>
        <v/>
      </c>
      <c r="B1083" s="10">
        <f>INDEX(Precos!$B1083:$I1083,MATCH(Premissas!$B$8,Precos!$B$3:$I$3,0))</f>
        <v/>
      </c>
      <c r="C1083" s="10">
        <f>IF(AND(Premissas!$B$10&gt;1,A1083&lt;Premissas!$B$9),B1083*Premissas!$B$10,B1083)</f>
        <v/>
      </c>
      <c r="D1083" s="12" t="n"/>
      <c r="E1083" s="10">
        <f>Precos!J1083</f>
        <v/>
      </c>
      <c r="F1083" s="12" t="n"/>
    </row>
    <row r="1084">
      <c r="A1084" s="9">
        <f>Precos!A1084</f>
        <v/>
      </c>
      <c r="B1084" s="10">
        <f>INDEX(Precos!$B1084:$I1084,MATCH(Premissas!$B$8,Precos!$B$3:$I$3,0))</f>
        <v/>
      </c>
      <c r="C1084" s="10">
        <f>IF(AND(Premissas!$B$10&gt;1,A1084&lt;Premissas!$B$9),B1084*Premissas!$B$10,B1084)</f>
        <v/>
      </c>
      <c r="D1084" s="12" t="n"/>
      <c r="E1084" s="10">
        <f>Precos!J1084</f>
        <v/>
      </c>
      <c r="F1084" s="12" t="n"/>
    </row>
    <row r="1085">
      <c r="A1085" s="9">
        <f>Precos!A1085</f>
        <v/>
      </c>
      <c r="B1085" s="10">
        <f>INDEX(Precos!$B1085:$I1085,MATCH(Premissas!$B$8,Precos!$B$3:$I$3,0))</f>
        <v/>
      </c>
      <c r="C1085" s="10">
        <f>IF(AND(Premissas!$B$10&gt;1,A1085&lt;Premissas!$B$9),B1085*Premissas!$B$10,B1085)</f>
        <v/>
      </c>
      <c r="D1085" s="12" t="n"/>
      <c r="E1085" s="10">
        <f>Precos!J1085</f>
        <v/>
      </c>
      <c r="F1085" s="12" t="n"/>
    </row>
    <row r="1086">
      <c r="A1086" s="9">
        <f>Precos!A1086</f>
        <v/>
      </c>
      <c r="B1086" s="10">
        <f>INDEX(Precos!$B1086:$I1086,MATCH(Premissas!$B$8,Precos!$B$3:$I$3,0))</f>
        <v/>
      </c>
      <c r="C1086" s="10">
        <f>IF(AND(Premissas!$B$10&gt;1,A1086&lt;Premissas!$B$9),B1086*Premissas!$B$10,B1086)</f>
        <v/>
      </c>
      <c r="D1086" s="12" t="n"/>
      <c r="E1086" s="10">
        <f>Precos!J1086</f>
        <v/>
      </c>
      <c r="F1086" s="12" t="n"/>
    </row>
    <row r="1087">
      <c r="A1087" s="9">
        <f>Precos!A1087</f>
        <v/>
      </c>
      <c r="B1087" s="10">
        <f>INDEX(Precos!$B1087:$I1087,MATCH(Premissas!$B$8,Precos!$B$3:$I$3,0))</f>
        <v/>
      </c>
      <c r="C1087" s="10">
        <f>IF(AND(Premissas!$B$10&gt;1,A1087&lt;Premissas!$B$9),B1087*Premissas!$B$10,B1087)</f>
        <v/>
      </c>
      <c r="D1087" s="12" t="n"/>
      <c r="E1087" s="10">
        <f>Precos!J1087</f>
        <v/>
      </c>
      <c r="F1087" s="12" t="n"/>
    </row>
    <row r="1088">
      <c r="A1088" s="9">
        <f>Precos!A1088</f>
        <v/>
      </c>
      <c r="B1088" s="10">
        <f>INDEX(Precos!$B1088:$I1088,MATCH(Premissas!$B$8,Precos!$B$3:$I$3,0))</f>
        <v/>
      </c>
      <c r="C1088" s="10">
        <f>IF(AND(Premissas!$B$10&gt;1,A1088&lt;Premissas!$B$9),B1088*Premissas!$B$10,B1088)</f>
        <v/>
      </c>
      <c r="D1088" s="12" t="n"/>
      <c r="E1088" s="10">
        <f>Precos!J1088</f>
        <v/>
      </c>
      <c r="F1088" s="12" t="n"/>
    </row>
    <row r="1089">
      <c r="A1089" s="9">
        <f>Precos!A1089</f>
        <v/>
      </c>
      <c r="B1089" s="10">
        <f>INDEX(Precos!$B1089:$I1089,MATCH(Premissas!$B$8,Precos!$B$3:$I$3,0))</f>
        <v/>
      </c>
      <c r="C1089" s="10">
        <f>IF(AND(Premissas!$B$10&gt;1,A1089&lt;Premissas!$B$9),B1089*Premissas!$B$10,B1089)</f>
        <v/>
      </c>
      <c r="D1089" s="12" t="n"/>
      <c r="E1089" s="10">
        <f>Precos!J1089</f>
        <v/>
      </c>
      <c r="F1089" s="12" t="n"/>
    </row>
    <row r="1090">
      <c r="A1090" s="9">
        <f>Precos!A1090</f>
        <v/>
      </c>
      <c r="B1090" s="10">
        <f>INDEX(Precos!$B1090:$I1090,MATCH(Premissas!$B$8,Precos!$B$3:$I$3,0))</f>
        <v/>
      </c>
      <c r="C1090" s="10">
        <f>IF(AND(Premissas!$B$10&gt;1,A1090&lt;Premissas!$B$9),B1090*Premissas!$B$10,B1090)</f>
        <v/>
      </c>
      <c r="D1090" s="12" t="n"/>
      <c r="E1090" s="10">
        <f>Precos!J1090</f>
        <v/>
      </c>
      <c r="F1090" s="12" t="n"/>
    </row>
    <row r="1091">
      <c r="A1091" s="9">
        <f>Precos!A1091</f>
        <v/>
      </c>
      <c r="B1091" s="10">
        <f>INDEX(Precos!$B1091:$I1091,MATCH(Premissas!$B$8,Precos!$B$3:$I$3,0))</f>
        <v/>
      </c>
      <c r="C1091" s="10">
        <f>IF(AND(Premissas!$B$10&gt;1,A1091&lt;Premissas!$B$9),B1091*Premissas!$B$10,B1091)</f>
        <v/>
      </c>
      <c r="D1091" s="12" t="n"/>
      <c r="E1091" s="10">
        <f>Precos!J1091</f>
        <v/>
      </c>
      <c r="F1091" s="12" t="n"/>
    </row>
    <row r="1092">
      <c r="A1092" s="9">
        <f>Precos!A1092</f>
        <v/>
      </c>
      <c r="B1092" s="10">
        <f>INDEX(Precos!$B1092:$I1092,MATCH(Premissas!$B$8,Precos!$B$3:$I$3,0))</f>
        <v/>
      </c>
      <c r="C1092" s="10">
        <f>IF(AND(Premissas!$B$10&gt;1,A1092&lt;Premissas!$B$9),B1092*Premissas!$B$10,B1092)</f>
        <v/>
      </c>
      <c r="D1092" s="12" t="n"/>
      <c r="E1092" s="10">
        <f>Precos!J1092</f>
        <v/>
      </c>
      <c r="F1092" s="12" t="n"/>
    </row>
    <row r="1093">
      <c r="A1093" s="9">
        <f>Precos!A1093</f>
        <v/>
      </c>
      <c r="B1093" s="10">
        <f>INDEX(Precos!$B1093:$I1093,MATCH(Premissas!$B$8,Precos!$B$3:$I$3,0))</f>
        <v/>
      </c>
      <c r="C1093" s="10">
        <f>IF(AND(Premissas!$B$10&gt;1,A1093&lt;Premissas!$B$9),B1093*Premissas!$B$10,B1093)</f>
        <v/>
      </c>
      <c r="D1093" s="12" t="n"/>
      <c r="E1093" s="10">
        <f>Precos!J1093</f>
        <v/>
      </c>
      <c r="F1093" s="12" t="n"/>
    </row>
    <row r="1094">
      <c r="A1094" s="9">
        <f>Precos!A1094</f>
        <v/>
      </c>
      <c r="B1094" s="10">
        <f>INDEX(Precos!$B1094:$I1094,MATCH(Premissas!$B$8,Precos!$B$3:$I$3,0))</f>
        <v/>
      </c>
      <c r="C1094" s="10">
        <f>IF(AND(Premissas!$B$10&gt;1,A1094&lt;Premissas!$B$9),B1094*Premissas!$B$10,B1094)</f>
        <v/>
      </c>
      <c r="D1094" s="12" t="n"/>
      <c r="E1094" s="10">
        <f>Precos!J1094</f>
        <v/>
      </c>
      <c r="F1094" s="12" t="n"/>
    </row>
    <row r="1095">
      <c r="A1095" s="9">
        <f>Precos!A1095</f>
        <v/>
      </c>
      <c r="B1095" s="10">
        <f>INDEX(Precos!$B1095:$I1095,MATCH(Premissas!$B$8,Precos!$B$3:$I$3,0))</f>
        <v/>
      </c>
      <c r="C1095" s="10">
        <f>IF(AND(Premissas!$B$10&gt;1,A1095&lt;Premissas!$B$9),B1095*Premissas!$B$10,B1095)</f>
        <v/>
      </c>
      <c r="D1095" s="12" t="n"/>
      <c r="E1095" s="10">
        <f>Precos!J1095</f>
        <v/>
      </c>
      <c r="F1095" s="12" t="n"/>
    </row>
    <row r="1096">
      <c r="A1096" s="9">
        <f>Precos!A1096</f>
        <v/>
      </c>
      <c r="B1096" s="10">
        <f>INDEX(Precos!$B1096:$I1096,MATCH(Premissas!$B$8,Precos!$B$3:$I$3,0))</f>
        <v/>
      </c>
      <c r="C1096" s="10">
        <f>IF(AND(Premissas!$B$10&gt;1,A1096&lt;Premissas!$B$9),B1096*Premissas!$B$10,B1096)</f>
        <v/>
      </c>
      <c r="D1096" s="12" t="n"/>
      <c r="E1096" s="10">
        <f>Precos!J1096</f>
        <v/>
      </c>
      <c r="F1096" s="12" t="n"/>
    </row>
    <row r="1097">
      <c r="A1097" s="9">
        <f>Precos!A1097</f>
        <v/>
      </c>
      <c r="B1097" s="10">
        <f>INDEX(Precos!$B1097:$I1097,MATCH(Premissas!$B$8,Precos!$B$3:$I$3,0))</f>
        <v/>
      </c>
      <c r="C1097" s="10">
        <f>IF(AND(Premissas!$B$10&gt;1,A1097&lt;Premissas!$B$9),B1097*Premissas!$B$10,B1097)</f>
        <v/>
      </c>
      <c r="D1097" s="12" t="n"/>
      <c r="E1097" s="10">
        <f>Precos!J1097</f>
        <v/>
      </c>
      <c r="F1097" s="12" t="n"/>
    </row>
    <row r="1098">
      <c r="A1098" s="9">
        <f>Precos!A1098</f>
        <v/>
      </c>
      <c r="B1098" s="10">
        <f>INDEX(Precos!$B1098:$I1098,MATCH(Premissas!$B$8,Precos!$B$3:$I$3,0))</f>
        <v/>
      </c>
      <c r="C1098" s="10">
        <f>IF(AND(Premissas!$B$10&gt;1,A1098&lt;Premissas!$B$9),B1098*Premissas!$B$10,B1098)</f>
        <v/>
      </c>
      <c r="D1098" s="12" t="n"/>
      <c r="E1098" s="10">
        <f>Precos!J1098</f>
        <v/>
      </c>
      <c r="F1098" s="12" t="n"/>
    </row>
    <row r="1099">
      <c r="A1099" s="9">
        <f>Precos!A1099</f>
        <v/>
      </c>
      <c r="B1099" s="10">
        <f>INDEX(Precos!$B1099:$I1099,MATCH(Premissas!$B$8,Precos!$B$3:$I$3,0))</f>
        <v/>
      </c>
      <c r="C1099" s="10">
        <f>IF(AND(Premissas!$B$10&gt;1,A1099&lt;Premissas!$B$9),B1099*Premissas!$B$10,B1099)</f>
        <v/>
      </c>
      <c r="D1099" s="12" t="n"/>
      <c r="E1099" s="10">
        <f>Precos!J1099</f>
        <v/>
      </c>
      <c r="F1099" s="12" t="n"/>
    </row>
    <row r="1100">
      <c r="A1100" s="9">
        <f>Precos!A1100</f>
        <v/>
      </c>
      <c r="B1100" s="10">
        <f>INDEX(Precos!$B1100:$I1100,MATCH(Premissas!$B$8,Precos!$B$3:$I$3,0))</f>
        <v/>
      </c>
      <c r="C1100" s="10">
        <f>IF(AND(Premissas!$B$10&gt;1,A1100&lt;Premissas!$B$9),B1100*Premissas!$B$10,B1100)</f>
        <v/>
      </c>
      <c r="D1100" s="12" t="n"/>
      <c r="E1100" s="10">
        <f>Precos!J1100</f>
        <v/>
      </c>
      <c r="F1100" s="12" t="n"/>
    </row>
    <row r="1101">
      <c r="A1101" s="9">
        <f>Precos!A1101</f>
        <v/>
      </c>
      <c r="B1101" s="10">
        <f>INDEX(Precos!$B1101:$I1101,MATCH(Premissas!$B$8,Precos!$B$3:$I$3,0))</f>
        <v/>
      </c>
      <c r="C1101" s="10">
        <f>IF(AND(Premissas!$B$10&gt;1,A1101&lt;Premissas!$B$9),B1101*Premissas!$B$10,B1101)</f>
        <v/>
      </c>
      <c r="D1101" s="12" t="n"/>
      <c r="E1101" s="10">
        <f>Precos!J1101</f>
        <v/>
      </c>
      <c r="F1101" s="12" t="n"/>
    </row>
    <row r="1102">
      <c r="A1102" s="9">
        <f>Precos!A1102</f>
        <v/>
      </c>
      <c r="B1102" s="10">
        <f>INDEX(Precos!$B1102:$I1102,MATCH(Premissas!$B$8,Precos!$B$3:$I$3,0))</f>
        <v/>
      </c>
      <c r="C1102" s="10">
        <f>IF(AND(Premissas!$B$10&gt;1,A1102&lt;Premissas!$B$9),B1102*Premissas!$B$10,B1102)</f>
        <v/>
      </c>
      <c r="D1102" s="12" t="n"/>
      <c r="E1102" s="10">
        <f>Precos!J1102</f>
        <v/>
      </c>
      <c r="F1102" s="12" t="n"/>
    </row>
    <row r="1103">
      <c r="A1103" s="9">
        <f>Precos!A1103</f>
        <v/>
      </c>
      <c r="B1103" s="10">
        <f>INDEX(Precos!$B1103:$I1103,MATCH(Premissas!$B$8,Precos!$B$3:$I$3,0))</f>
        <v/>
      </c>
      <c r="C1103" s="10">
        <f>IF(AND(Premissas!$B$10&gt;1,A1103&lt;Premissas!$B$9),B1103*Premissas!$B$10,B1103)</f>
        <v/>
      </c>
      <c r="D1103" s="12" t="n"/>
      <c r="E1103" s="10">
        <f>Precos!J1103</f>
        <v/>
      </c>
      <c r="F1103" s="12" t="n"/>
    </row>
    <row r="1104">
      <c r="A1104" s="9">
        <f>Precos!A1104</f>
        <v/>
      </c>
      <c r="B1104" s="10">
        <f>INDEX(Precos!$B1104:$I1104,MATCH(Premissas!$B$8,Precos!$B$3:$I$3,0))</f>
        <v/>
      </c>
      <c r="C1104" s="10">
        <f>IF(AND(Premissas!$B$10&gt;1,A1104&lt;Premissas!$B$9),B1104*Premissas!$B$10,B1104)</f>
        <v/>
      </c>
      <c r="D1104" s="12" t="n"/>
      <c r="E1104" s="10">
        <f>Precos!J1104</f>
        <v/>
      </c>
      <c r="F1104" s="12" t="n"/>
    </row>
    <row r="1105">
      <c r="A1105" s="9">
        <f>Precos!A1105</f>
        <v/>
      </c>
      <c r="B1105" s="10">
        <f>INDEX(Precos!$B1105:$I1105,MATCH(Premissas!$B$8,Precos!$B$3:$I$3,0))</f>
        <v/>
      </c>
      <c r="C1105" s="10">
        <f>IF(AND(Premissas!$B$10&gt;1,A1105&lt;Premissas!$B$9),B1105*Premissas!$B$10,B1105)</f>
        <v/>
      </c>
      <c r="D1105" s="12" t="n"/>
      <c r="E1105" s="10">
        <f>Precos!J1105</f>
        <v/>
      </c>
      <c r="F1105" s="12" t="n"/>
    </row>
    <row r="1106">
      <c r="A1106" s="9">
        <f>Precos!A1106</f>
        <v/>
      </c>
      <c r="B1106" s="10">
        <f>INDEX(Precos!$B1106:$I1106,MATCH(Premissas!$B$8,Precos!$B$3:$I$3,0))</f>
        <v/>
      </c>
      <c r="C1106" s="10">
        <f>IF(AND(Premissas!$B$10&gt;1,A1106&lt;Premissas!$B$9),B1106*Premissas!$B$10,B1106)</f>
        <v/>
      </c>
      <c r="D1106" s="12" t="n"/>
      <c r="E1106" s="10">
        <f>Precos!J1106</f>
        <v/>
      </c>
      <c r="F1106" s="12" t="n"/>
    </row>
    <row r="1107">
      <c r="A1107" s="9">
        <f>Precos!A1107</f>
        <v/>
      </c>
      <c r="B1107" s="10">
        <f>INDEX(Precos!$B1107:$I1107,MATCH(Premissas!$B$8,Precos!$B$3:$I$3,0))</f>
        <v/>
      </c>
      <c r="C1107" s="10">
        <f>IF(AND(Premissas!$B$10&gt;1,A1107&lt;Premissas!$B$9),B1107*Premissas!$B$10,B1107)</f>
        <v/>
      </c>
      <c r="D1107" s="12" t="n"/>
      <c r="E1107" s="10">
        <f>Precos!J1107</f>
        <v/>
      </c>
      <c r="F1107" s="12" t="n"/>
    </row>
    <row r="1108">
      <c r="A1108" s="9">
        <f>Precos!A1108</f>
        <v/>
      </c>
      <c r="B1108" s="10">
        <f>INDEX(Precos!$B1108:$I1108,MATCH(Premissas!$B$8,Precos!$B$3:$I$3,0))</f>
        <v/>
      </c>
      <c r="C1108" s="10">
        <f>IF(AND(Premissas!$B$10&gt;1,A1108&lt;Premissas!$B$9),B1108*Premissas!$B$10,B1108)</f>
        <v/>
      </c>
      <c r="D1108" s="12" t="n"/>
      <c r="E1108" s="10">
        <f>Precos!J1108</f>
        <v/>
      </c>
      <c r="F1108" s="12" t="n"/>
    </row>
    <row r="1109">
      <c r="A1109" s="9">
        <f>Precos!A1109</f>
        <v/>
      </c>
      <c r="B1109" s="10">
        <f>INDEX(Precos!$B1109:$I1109,MATCH(Premissas!$B$8,Precos!$B$3:$I$3,0))</f>
        <v/>
      </c>
      <c r="C1109" s="10">
        <f>IF(AND(Premissas!$B$10&gt;1,A1109&lt;Premissas!$B$9),B1109*Premissas!$B$10,B1109)</f>
        <v/>
      </c>
      <c r="D1109" s="12" t="n"/>
      <c r="E1109" s="10">
        <f>Precos!J1109</f>
        <v/>
      </c>
      <c r="F1109" s="12" t="n"/>
    </row>
    <row r="1110">
      <c r="A1110" s="9">
        <f>Precos!A1110</f>
        <v/>
      </c>
      <c r="B1110" s="10">
        <f>INDEX(Precos!$B1110:$I1110,MATCH(Premissas!$B$8,Precos!$B$3:$I$3,0))</f>
        <v/>
      </c>
      <c r="C1110" s="10">
        <f>IF(AND(Premissas!$B$10&gt;1,A1110&lt;Premissas!$B$9),B1110*Premissas!$B$10,B1110)</f>
        <v/>
      </c>
      <c r="D1110" s="12" t="n"/>
      <c r="E1110" s="10">
        <f>Precos!J1110</f>
        <v/>
      </c>
      <c r="F1110" s="12" t="n"/>
    </row>
    <row r="1111">
      <c r="A1111" s="9">
        <f>Precos!A1111</f>
        <v/>
      </c>
      <c r="B1111" s="10">
        <f>INDEX(Precos!$B1111:$I1111,MATCH(Premissas!$B$8,Precos!$B$3:$I$3,0))</f>
        <v/>
      </c>
      <c r="C1111" s="10">
        <f>IF(AND(Premissas!$B$10&gt;1,A1111&lt;Premissas!$B$9),B1111*Premissas!$B$10,B1111)</f>
        <v/>
      </c>
      <c r="D1111" s="12" t="n"/>
      <c r="E1111" s="10">
        <f>Precos!J1111</f>
        <v/>
      </c>
      <c r="F1111" s="12" t="n"/>
    </row>
    <row r="1112">
      <c r="A1112" s="9">
        <f>Precos!A1112</f>
        <v/>
      </c>
      <c r="B1112" s="10">
        <f>INDEX(Precos!$B1112:$I1112,MATCH(Premissas!$B$8,Precos!$B$3:$I$3,0))</f>
        <v/>
      </c>
      <c r="C1112" s="10">
        <f>IF(AND(Premissas!$B$10&gt;1,A1112&lt;Premissas!$B$9),B1112*Premissas!$B$10,B1112)</f>
        <v/>
      </c>
      <c r="D1112" s="12" t="n"/>
      <c r="E1112" s="10">
        <f>Precos!J1112</f>
        <v/>
      </c>
      <c r="F1112" s="12" t="n"/>
    </row>
    <row r="1113">
      <c r="A1113" s="9">
        <f>Precos!A1113</f>
        <v/>
      </c>
      <c r="B1113" s="10">
        <f>INDEX(Precos!$B1113:$I1113,MATCH(Premissas!$B$8,Precos!$B$3:$I$3,0))</f>
        <v/>
      </c>
      <c r="C1113" s="10">
        <f>IF(AND(Premissas!$B$10&gt;1,A1113&lt;Premissas!$B$9),B1113*Premissas!$B$10,B1113)</f>
        <v/>
      </c>
      <c r="D1113" s="12" t="n"/>
      <c r="E1113" s="10">
        <f>Precos!J1113</f>
        <v/>
      </c>
      <c r="F1113" s="12" t="n"/>
    </row>
    <row r="1114">
      <c r="A1114" s="9">
        <f>Precos!A1114</f>
        <v/>
      </c>
      <c r="B1114" s="10">
        <f>INDEX(Precos!$B1114:$I1114,MATCH(Premissas!$B$8,Precos!$B$3:$I$3,0))</f>
        <v/>
      </c>
      <c r="C1114" s="10">
        <f>IF(AND(Premissas!$B$10&gt;1,A1114&lt;Premissas!$B$9),B1114*Premissas!$B$10,B1114)</f>
        <v/>
      </c>
      <c r="D1114" s="12" t="n"/>
      <c r="E1114" s="10">
        <f>Precos!J1114</f>
        <v/>
      </c>
      <c r="F1114" s="12" t="n"/>
    </row>
    <row r="1115">
      <c r="A1115" s="9">
        <f>Precos!A1115</f>
        <v/>
      </c>
      <c r="B1115" s="10">
        <f>INDEX(Precos!$B1115:$I1115,MATCH(Premissas!$B$8,Precos!$B$3:$I$3,0))</f>
        <v/>
      </c>
      <c r="C1115" s="10">
        <f>IF(AND(Premissas!$B$10&gt;1,A1115&lt;Premissas!$B$9),B1115*Premissas!$B$10,B1115)</f>
        <v/>
      </c>
      <c r="D1115" s="12" t="n"/>
      <c r="E1115" s="10">
        <f>Precos!J1115</f>
        <v/>
      </c>
      <c r="F1115" s="12" t="n"/>
    </row>
    <row r="1116">
      <c r="A1116" s="9">
        <f>Precos!A1116</f>
        <v/>
      </c>
      <c r="B1116" s="10">
        <f>INDEX(Precos!$B1116:$I1116,MATCH(Premissas!$B$8,Precos!$B$3:$I$3,0))</f>
        <v/>
      </c>
      <c r="C1116" s="10">
        <f>IF(AND(Premissas!$B$10&gt;1,A1116&lt;Premissas!$B$9),B1116*Premissas!$B$10,B1116)</f>
        <v/>
      </c>
      <c r="D1116" s="12" t="n"/>
      <c r="E1116" s="10">
        <f>Precos!J1116</f>
        <v/>
      </c>
      <c r="F1116" s="12" t="n"/>
    </row>
    <row r="1117">
      <c r="A1117" s="9">
        <f>Precos!A1117</f>
        <v/>
      </c>
      <c r="B1117" s="10">
        <f>INDEX(Precos!$B1117:$I1117,MATCH(Premissas!$B$8,Precos!$B$3:$I$3,0))</f>
        <v/>
      </c>
      <c r="C1117" s="10">
        <f>IF(AND(Premissas!$B$10&gt;1,A1117&lt;Premissas!$B$9),B1117*Premissas!$B$10,B1117)</f>
        <v/>
      </c>
      <c r="D1117" s="12" t="n"/>
      <c r="E1117" s="10">
        <f>Precos!J1117</f>
        <v/>
      </c>
      <c r="F1117" s="12" t="n"/>
    </row>
    <row r="1118">
      <c r="A1118" s="9">
        <f>Precos!A1118</f>
        <v/>
      </c>
      <c r="B1118" s="10">
        <f>INDEX(Precos!$B1118:$I1118,MATCH(Premissas!$B$8,Precos!$B$3:$I$3,0))</f>
        <v/>
      </c>
      <c r="C1118" s="10">
        <f>IF(AND(Premissas!$B$10&gt;1,A1118&lt;Premissas!$B$9),B1118*Premissas!$B$10,B1118)</f>
        <v/>
      </c>
      <c r="D1118" s="12" t="n"/>
      <c r="E1118" s="10">
        <f>Precos!J1118</f>
        <v/>
      </c>
      <c r="F1118" s="12" t="n"/>
    </row>
    <row r="1119">
      <c r="A1119" s="9">
        <f>Precos!A1119</f>
        <v/>
      </c>
      <c r="B1119" s="10">
        <f>INDEX(Precos!$B1119:$I1119,MATCH(Premissas!$B$8,Precos!$B$3:$I$3,0))</f>
        <v/>
      </c>
      <c r="C1119" s="10">
        <f>IF(AND(Premissas!$B$10&gt;1,A1119&lt;Premissas!$B$9),B1119*Premissas!$B$10,B1119)</f>
        <v/>
      </c>
      <c r="D1119" s="12" t="n"/>
      <c r="E1119" s="10">
        <f>Precos!J1119</f>
        <v/>
      </c>
      <c r="F1119" s="12" t="n"/>
    </row>
    <row r="1120">
      <c r="A1120" s="9">
        <f>Precos!A1120</f>
        <v/>
      </c>
      <c r="B1120" s="10">
        <f>INDEX(Precos!$B1120:$I1120,MATCH(Premissas!$B$8,Precos!$B$3:$I$3,0))</f>
        <v/>
      </c>
      <c r="C1120" s="10">
        <f>IF(AND(Premissas!$B$10&gt;1,A1120&lt;Premissas!$B$9),B1120*Premissas!$B$10,B1120)</f>
        <v/>
      </c>
      <c r="D1120" s="12" t="n"/>
      <c r="E1120" s="10">
        <f>Precos!J1120</f>
        <v/>
      </c>
      <c r="F1120" s="12" t="n"/>
    </row>
    <row r="1121">
      <c r="A1121" s="9">
        <f>Precos!A1121</f>
        <v/>
      </c>
      <c r="B1121" s="10">
        <f>INDEX(Precos!$B1121:$I1121,MATCH(Premissas!$B$8,Precos!$B$3:$I$3,0))</f>
        <v/>
      </c>
      <c r="C1121" s="10">
        <f>IF(AND(Premissas!$B$10&gt;1,A1121&lt;Premissas!$B$9),B1121*Premissas!$B$10,B1121)</f>
        <v/>
      </c>
      <c r="D1121" s="12" t="n"/>
      <c r="E1121" s="10">
        <f>Precos!J1121</f>
        <v/>
      </c>
      <c r="F1121" s="12" t="n"/>
    </row>
    <row r="1122">
      <c r="A1122" s="9">
        <f>Precos!A1122</f>
        <v/>
      </c>
      <c r="B1122" s="10">
        <f>INDEX(Precos!$B1122:$I1122,MATCH(Premissas!$B$8,Precos!$B$3:$I$3,0))</f>
        <v/>
      </c>
      <c r="C1122" s="10">
        <f>IF(AND(Premissas!$B$10&gt;1,A1122&lt;Premissas!$B$9),B1122*Premissas!$B$10,B1122)</f>
        <v/>
      </c>
      <c r="D1122" s="12" t="n"/>
      <c r="E1122" s="10">
        <f>Precos!J1122</f>
        <v/>
      </c>
      <c r="F1122" s="12" t="n"/>
    </row>
    <row r="1123">
      <c r="A1123" s="9">
        <f>Precos!A1123</f>
        <v/>
      </c>
      <c r="B1123" s="10">
        <f>INDEX(Precos!$B1123:$I1123,MATCH(Premissas!$B$8,Precos!$B$3:$I$3,0))</f>
        <v/>
      </c>
      <c r="C1123" s="10">
        <f>IF(AND(Premissas!$B$10&gt;1,A1123&lt;Premissas!$B$9),B1123*Premissas!$B$10,B1123)</f>
        <v/>
      </c>
      <c r="D1123" s="12" t="n"/>
      <c r="E1123" s="10">
        <f>Precos!J1123</f>
        <v/>
      </c>
      <c r="F1123" s="12" t="n"/>
    </row>
    <row r="1124">
      <c r="A1124" s="9">
        <f>Precos!A1124</f>
        <v/>
      </c>
      <c r="B1124" s="10">
        <f>INDEX(Precos!$B1124:$I1124,MATCH(Premissas!$B$8,Precos!$B$3:$I$3,0))</f>
        <v/>
      </c>
      <c r="C1124" s="10">
        <f>IF(AND(Premissas!$B$10&gt;1,A1124&lt;Premissas!$B$9),B1124*Premissas!$B$10,B1124)</f>
        <v/>
      </c>
      <c r="D1124" s="12" t="n"/>
      <c r="E1124" s="10">
        <f>Precos!J1124</f>
        <v/>
      </c>
      <c r="F1124" s="12" t="n"/>
    </row>
    <row r="1125">
      <c r="A1125" s="9">
        <f>Precos!A1125</f>
        <v/>
      </c>
      <c r="B1125" s="10">
        <f>INDEX(Precos!$B1125:$I1125,MATCH(Premissas!$B$8,Precos!$B$3:$I$3,0))</f>
        <v/>
      </c>
      <c r="C1125" s="10">
        <f>IF(AND(Premissas!$B$10&gt;1,A1125&lt;Premissas!$B$9),B1125*Premissas!$B$10,B1125)</f>
        <v/>
      </c>
      <c r="D1125" s="12" t="n"/>
      <c r="E1125" s="10">
        <f>Precos!J1125</f>
        <v/>
      </c>
      <c r="F1125" s="12" t="n"/>
    </row>
    <row r="1126">
      <c r="A1126" s="9">
        <f>Precos!A1126</f>
        <v/>
      </c>
      <c r="B1126" s="10">
        <f>INDEX(Precos!$B1126:$I1126,MATCH(Premissas!$B$8,Precos!$B$3:$I$3,0))</f>
        <v/>
      </c>
      <c r="C1126" s="10">
        <f>IF(AND(Premissas!$B$10&gt;1,A1126&lt;Premissas!$B$9),B1126*Premissas!$B$10,B1126)</f>
        <v/>
      </c>
      <c r="D1126" s="12" t="n"/>
      <c r="E1126" s="10">
        <f>Precos!J1126</f>
        <v/>
      </c>
      <c r="F1126" s="12" t="n"/>
    </row>
    <row r="1127">
      <c r="A1127" s="9">
        <f>Precos!A1127</f>
        <v/>
      </c>
      <c r="B1127" s="10">
        <f>INDEX(Precos!$B1127:$I1127,MATCH(Premissas!$B$8,Precos!$B$3:$I$3,0))</f>
        <v/>
      </c>
      <c r="C1127" s="10">
        <f>IF(AND(Premissas!$B$10&gt;1,A1127&lt;Premissas!$B$9),B1127*Premissas!$B$10,B1127)</f>
        <v/>
      </c>
      <c r="D1127" s="12" t="n"/>
      <c r="E1127" s="10">
        <f>Precos!J1127</f>
        <v/>
      </c>
      <c r="F1127" s="12" t="n"/>
    </row>
    <row r="1128">
      <c r="A1128" s="9">
        <f>Precos!A1128</f>
        <v/>
      </c>
      <c r="B1128" s="10">
        <f>INDEX(Precos!$B1128:$I1128,MATCH(Premissas!$B$8,Precos!$B$3:$I$3,0))</f>
        <v/>
      </c>
      <c r="C1128" s="10">
        <f>IF(AND(Premissas!$B$10&gt;1,A1128&lt;Premissas!$B$9),B1128*Premissas!$B$10,B1128)</f>
        <v/>
      </c>
      <c r="D1128" s="12" t="n"/>
      <c r="E1128" s="10">
        <f>Precos!J1128</f>
        <v/>
      </c>
      <c r="F1128" s="12" t="n"/>
    </row>
    <row r="1129">
      <c r="A1129" s="9">
        <f>Precos!A1129</f>
        <v/>
      </c>
      <c r="B1129" s="10">
        <f>INDEX(Precos!$B1129:$I1129,MATCH(Premissas!$B$8,Precos!$B$3:$I$3,0))</f>
        <v/>
      </c>
      <c r="C1129" s="10">
        <f>IF(AND(Premissas!$B$10&gt;1,A1129&lt;Premissas!$B$9),B1129*Premissas!$B$10,B1129)</f>
        <v/>
      </c>
      <c r="D1129" s="12" t="n"/>
      <c r="E1129" s="10">
        <f>Precos!J1129</f>
        <v/>
      </c>
      <c r="F1129" s="12" t="n"/>
    </row>
    <row r="1130">
      <c r="A1130" s="9">
        <f>Precos!A1130</f>
        <v/>
      </c>
      <c r="B1130" s="10">
        <f>INDEX(Precos!$B1130:$I1130,MATCH(Premissas!$B$8,Precos!$B$3:$I$3,0))</f>
        <v/>
      </c>
      <c r="C1130" s="10">
        <f>IF(AND(Premissas!$B$10&gt;1,A1130&lt;Premissas!$B$9),B1130*Premissas!$B$10,B1130)</f>
        <v/>
      </c>
      <c r="D1130" s="12" t="n"/>
      <c r="E1130" s="10">
        <f>Precos!J1130</f>
        <v/>
      </c>
      <c r="F1130" s="12" t="n"/>
    </row>
    <row r="1131">
      <c r="A1131" s="9">
        <f>Precos!A1131</f>
        <v/>
      </c>
      <c r="B1131" s="10">
        <f>INDEX(Precos!$B1131:$I1131,MATCH(Premissas!$B$8,Precos!$B$3:$I$3,0))</f>
        <v/>
      </c>
      <c r="C1131" s="10">
        <f>IF(AND(Premissas!$B$10&gt;1,A1131&lt;Premissas!$B$9),B1131*Premissas!$B$10,B1131)</f>
        <v/>
      </c>
      <c r="D1131" s="12" t="n"/>
      <c r="E1131" s="10">
        <f>Precos!J1131</f>
        <v/>
      </c>
      <c r="F1131" s="12" t="n"/>
    </row>
    <row r="1132">
      <c r="A1132" s="9">
        <f>Precos!A1132</f>
        <v/>
      </c>
      <c r="B1132" s="10">
        <f>INDEX(Precos!$B1132:$I1132,MATCH(Premissas!$B$8,Precos!$B$3:$I$3,0))</f>
        <v/>
      </c>
      <c r="C1132" s="10">
        <f>IF(AND(Premissas!$B$10&gt;1,A1132&lt;Premissas!$B$9),B1132*Premissas!$B$10,B1132)</f>
        <v/>
      </c>
      <c r="D1132" s="12" t="n"/>
      <c r="E1132" s="10">
        <f>Precos!J1132</f>
        <v/>
      </c>
      <c r="F1132" s="12" t="n"/>
    </row>
    <row r="1133">
      <c r="A1133" s="9">
        <f>Precos!A1133</f>
        <v/>
      </c>
      <c r="B1133" s="10">
        <f>INDEX(Precos!$B1133:$I1133,MATCH(Premissas!$B$8,Precos!$B$3:$I$3,0))</f>
        <v/>
      </c>
      <c r="C1133" s="10">
        <f>IF(AND(Premissas!$B$10&gt;1,A1133&lt;Premissas!$B$9),B1133*Premissas!$B$10,B1133)</f>
        <v/>
      </c>
      <c r="D1133" s="12" t="n"/>
      <c r="E1133" s="10">
        <f>Precos!J1133</f>
        <v/>
      </c>
      <c r="F1133" s="12" t="n"/>
    </row>
    <row r="1134">
      <c r="A1134" s="9">
        <f>Precos!A1134</f>
        <v/>
      </c>
      <c r="B1134" s="10">
        <f>INDEX(Precos!$B1134:$I1134,MATCH(Premissas!$B$8,Precos!$B$3:$I$3,0))</f>
        <v/>
      </c>
      <c r="C1134" s="10">
        <f>IF(AND(Premissas!$B$10&gt;1,A1134&lt;Premissas!$B$9),B1134*Premissas!$B$10,B1134)</f>
        <v/>
      </c>
      <c r="D1134" s="12" t="n"/>
      <c r="E1134" s="10">
        <f>Precos!J1134</f>
        <v/>
      </c>
      <c r="F1134" s="12" t="n"/>
    </row>
    <row r="1135">
      <c r="A1135" s="9">
        <f>Precos!A1135</f>
        <v/>
      </c>
      <c r="B1135" s="10">
        <f>INDEX(Precos!$B1135:$I1135,MATCH(Premissas!$B$8,Precos!$B$3:$I$3,0))</f>
        <v/>
      </c>
      <c r="C1135" s="10">
        <f>IF(AND(Premissas!$B$10&gt;1,A1135&lt;Premissas!$B$9),B1135*Premissas!$B$10,B1135)</f>
        <v/>
      </c>
      <c r="D1135" s="12" t="n"/>
      <c r="E1135" s="10">
        <f>Precos!J1135</f>
        <v/>
      </c>
      <c r="F1135" s="12" t="n"/>
    </row>
    <row r="1136">
      <c r="A1136" s="9">
        <f>Precos!A1136</f>
        <v/>
      </c>
      <c r="B1136" s="10">
        <f>INDEX(Precos!$B1136:$I1136,MATCH(Premissas!$B$8,Precos!$B$3:$I$3,0))</f>
        <v/>
      </c>
      <c r="C1136" s="10">
        <f>IF(AND(Premissas!$B$10&gt;1,A1136&lt;Premissas!$B$9),B1136*Premissas!$B$10,B1136)</f>
        <v/>
      </c>
      <c r="D1136" s="12" t="n"/>
      <c r="E1136" s="10">
        <f>Precos!J1136</f>
        <v/>
      </c>
      <c r="F1136" s="12" t="n"/>
    </row>
    <row r="1137">
      <c r="A1137" s="9">
        <f>Precos!A1137</f>
        <v/>
      </c>
      <c r="B1137" s="10">
        <f>INDEX(Precos!$B1137:$I1137,MATCH(Premissas!$B$8,Precos!$B$3:$I$3,0))</f>
        <v/>
      </c>
      <c r="C1137" s="10">
        <f>IF(AND(Premissas!$B$10&gt;1,A1137&lt;Premissas!$B$9),B1137*Premissas!$B$10,B1137)</f>
        <v/>
      </c>
      <c r="D1137" s="12" t="n"/>
      <c r="E1137" s="10">
        <f>Precos!J1137</f>
        <v/>
      </c>
      <c r="F1137" s="12" t="n"/>
    </row>
    <row r="1138">
      <c r="A1138" s="9">
        <f>Precos!A1138</f>
        <v/>
      </c>
      <c r="B1138" s="10">
        <f>INDEX(Precos!$B1138:$I1138,MATCH(Premissas!$B$8,Precos!$B$3:$I$3,0))</f>
        <v/>
      </c>
      <c r="C1138" s="10">
        <f>IF(AND(Premissas!$B$10&gt;1,A1138&lt;Premissas!$B$9),B1138*Premissas!$B$10,B1138)</f>
        <v/>
      </c>
      <c r="D1138" s="12" t="n"/>
      <c r="E1138" s="10">
        <f>Precos!J1138</f>
        <v/>
      </c>
      <c r="F1138" s="12" t="n"/>
    </row>
    <row r="1139">
      <c r="A1139" s="9">
        <f>Precos!A1139</f>
        <v/>
      </c>
      <c r="B1139" s="10">
        <f>INDEX(Precos!$B1139:$I1139,MATCH(Premissas!$B$8,Precos!$B$3:$I$3,0))</f>
        <v/>
      </c>
      <c r="C1139" s="10">
        <f>IF(AND(Premissas!$B$10&gt;1,A1139&lt;Premissas!$B$9),B1139*Premissas!$B$10,B1139)</f>
        <v/>
      </c>
      <c r="D1139" s="12" t="n"/>
      <c r="E1139" s="10">
        <f>Precos!J1139</f>
        <v/>
      </c>
      <c r="F1139" s="12" t="n"/>
    </row>
    <row r="1140">
      <c r="A1140" s="9">
        <f>Precos!A1140</f>
        <v/>
      </c>
      <c r="B1140" s="10">
        <f>INDEX(Precos!$B1140:$I1140,MATCH(Premissas!$B$8,Precos!$B$3:$I$3,0))</f>
        <v/>
      </c>
      <c r="C1140" s="10">
        <f>IF(AND(Premissas!$B$10&gt;1,A1140&lt;Premissas!$B$9),B1140*Premissas!$B$10,B1140)</f>
        <v/>
      </c>
      <c r="D1140" s="12" t="n"/>
      <c r="E1140" s="10">
        <f>Precos!J1140</f>
        <v/>
      </c>
      <c r="F1140" s="12" t="n"/>
    </row>
    <row r="1141">
      <c r="A1141" s="9">
        <f>Precos!A1141</f>
        <v/>
      </c>
      <c r="B1141" s="10">
        <f>INDEX(Precos!$B1141:$I1141,MATCH(Premissas!$B$8,Precos!$B$3:$I$3,0))</f>
        <v/>
      </c>
      <c r="C1141" s="10">
        <f>IF(AND(Premissas!$B$10&gt;1,A1141&lt;Premissas!$B$9),B1141*Premissas!$B$10,B1141)</f>
        <v/>
      </c>
      <c r="D1141" s="12" t="n"/>
      <c r="E1141" s="10">
        <f>Precos!J1141</f>
        <v/>
      </c>
      <c r="F1141" s="12" t="n"/>
    </row>
    <row r="1142">
      <c r="A1142" s="9">
        <f>Precos!A1142</f>
        <v/>
      </c>
      <c r="B1142" s="10">
        <f>INDEX(Precos!$B1142:$I1142,MATCH(Premissas!$B$8,Precos!$B$3:$I$3,0))</f>
        <v/>
      </c>
      <c r="C1142" s="10">
        <f>IF(AND(Premissas!$B$10&gt;1,A1142&lt;Premissas!$B$9),B1142*Premissas!$B$10,B1142)</f>
        <v/>
      </c>
      <c r="D1142" s="12" t="n"/>
      <c r="E1142" s="10">
        <f>Precos!J1142</f>
        <v/>
      </c>
      <c r="F1142" s="12" t="n"/>
    </row>
    <row r="1143">
      <c r="A1143" s="9">
        <f>Precos!A1143</f>
        <v/>
      </c>
      <c r="B1143" s="10">
        <f>INDEX(Precos!$B1143:$I1143,MATCH(Premissas!$B$8,Precos!$B$3:$I$3,0))</f>
        <v/>
      </c>
      <c r="C1143" s="10">
        <f>IF(AND(Premissas!$B$10&gt;1,A1143&lt;Premissas!$B$9),B1143*Premissas!$B$10,B1143)</f>
        <v/>
      </c>
      <c r="D1143" s="12" t="n"/>
      <c r="E1143" s="10">
        <f>Precos!J1143</f>
        <v/>
      </c>
      <c r="F1143" s="12" t="n"/>
    </row>
    <row r="1144">
      <c r="A1144" s="9">
        <f>Precos!A1144</f>
        <v/>
      </c>
      <c r="B1144" s="10">
        <f>INDEX(Precos!$B1144:$I1144,MATCH(Premissas!$B$8,Precos!$B$3:$I$3,0))</f>
        <v/>
      </c>
      <c r="C1144" s="10">
        <f>IF(AND(Premissas!$B$10&gt;1,A1144&lt;Premissas!$B$9),B1144*Premissas!$B$10,B1144)</f>
        <v/>
      </c>
      <c r="D1144" s="12" t="n"/>
      <c r="E1144" s="10">
        <f>Precos!J1144</f>
        <v/>
      </c>
      <c r="F1144" s="12" t="n"/>
    </row>
    <row r="1145">
      <c r="A1145" s="9">
        <f>Precos!A1145</f>
        <v/>
      </c>
      <c r="B1145" s="10">
        <f>INDEX(Precos!$B1145:$I1145,MATCH(Premissas!$B$8,Precos!$B$3:$I$3,0))</f>
        <v/>
      </c>
      <c r="C1145" s="10">
        <f>IF(AND(Premissas!$B$10&gt;1,A1145&lt;Premissas!$B$9),B1145*Premissas!$B$10,B1145)</f>
        <v/>
      </c>
      <c r="D1145" s="12" t="n"/>
      <c r="E1145" s="10">
        <f>Precos!J1145</f>
        <v/>
      </c>
      <c r="F1145" s="12" t="n"/>
    </row>
    <row r="1146">
      <c r="A1146" s="9">
        <f>Precos!A1146</f>
        <v/>
      </c>
      <c r="B1146" s="10">
        <f>INDEX(Precos!$B1146:$I1146,MATCH(Premissas!$B$8,Precos!$B$3:$I$3,0))</f>
        <v/>
      </c>
      <c r="C1146" s="10">
        <f>IF(AND(Premissas!$B$10&gt;1,A1146&lt;Premissas!$B$9),B1146*Premissas!$B$10,B1146)</f>
        <v/>
      </c>
      <c r="D1146" s="12" t="n"/>
      <c r="E1146" s="10">
        <f>Precos!J1146</f>
        <v/>
      </c>
      <c r="F1146" s="12" t="n"/>
    </row>
    <row r="1147">
      <c r="A1147" s="9">
        <f>Precos!A1147</f>
        <v/>
      </c>
      <c r="B1147" s="10">
        <f>INDEX(Precos!$B1147:$I1147,MATCH(Premissas!$B$8,Precos!$B$3:$I$3,0))</f>
        <v/>
      </c>
      <c r="C1147" s="10">
        <f>IF(AND(Premissas!$B$10&gt;1,A1147&lt;Premissas!$B$9),B1147*Premissas!$B$10,B1147)</f>
        <v/>
      </c>
      <c r="D1147" s="12" t="n"/>
      <c r="E1147" s="10">
        <f>Precos!J1147</f>
        <v/>
      </c>
      <c r="F1147" s="12" t="n"/>
    </row>
    <row r="1148">
      <c r="A1148" s="9">
        <f>Precos!A1148</f>
        <v/>
      </c>
      <c r="B1148" s="10">
        <f>INDEX(Precos!$B1148:$I1148,MATCH(Premissas!$B$8,Precos!$B$3:$I$3,0))</f>
        <v/>
      </c>
      <c r="C1148" s="10">
        <f>IF(AND(Premissas!$B$10&gt;1,A1148&lt;Premissas!$B$9),B1148*Premissas!$B$10,B1148)</f>
        <v/>
      </c>
      <c r="D1148" s="12" t="n"/>
      <c r="E1148" s="10">
        <f>Precos!J1148</f>
        <v/>
      </c>
      <c r="F1148" s="12" t="n"/>
    </row>
    <row r="1149">
      <c r="A1149" s="9">
        <f>Precos!A1149</f>
        <v/>
      </c>
      <c r="B1149" s="10">
        <f>INDEX(Precos!$B1149:$I1149,MATCH(Premissas!$B$8,Precos!$B$3:$I$3,0))</f>
        <v/>
      </c>
      <c r="C1149" s="10">
        <f>IF(AND(Premissas!$B$10&gt;1,A1149&lt;Premissas!$B$9),B1149*Premissas!$B$10,B1149)</f>
        <v/>
      </c>
      <c r="D1149" s="12" t="n"/>
      <c r="E1149" s="10">
        <f>Precos!J1149</f>
        <v/>
      </c>
      <c r="F1149" s="12" t="n"/>
    </row>
    <row r="1150">
      <c r="A1150" s="9">
        <f>Precos!A1150</f>
        <v/>
      </c>
      <c r="B1150" s="10">
        <f>INDEX(Precos!$B1150:$I1150,MATCH(Premissas!$B$8,Precos!$B$3:$I$3,0))</f>
        <v/>
      </c>
      <c r="C1150" s="10">
        <f>IF(AND(Premissas!$B$10&gt;1,A1150&lt;Premissas!$B$9),B1150*Premissas!$B$10,B1150)</f>
        <v/>
      </c>
      <c r="D1150" s="12" t="n"/>
      <c r="E1150" s="10">
        <f>Precos!J1150</f>
        <v/>
      </c>
      <c r="F1150" s="12" t="n"/>
    </row>
    <row r="1151">
      <c r="A1151" s="9">
        <f>Precos!A1151</f>
        <v/>
      </c>
      <c r="B1151" s="10">
        <f>INDEX(Precos!$B1151:$I1151,MATCH(Premissas!$B$8,Precos!$B$3:$I$3,0))</f>
        <v/>
      </c>
      <c r="C1151" s="10">
        <f>IF(AND(Premissas!$B$10&gt;1,A1151&lt;Premissas!$B$9),B1151*Premissas!$B$10,B1151)</f>
        <v/>
      </c>
      <c r="D1151" s="12" t="n"/>
      <c r="E1151" s="10">
        <f>Precos!J1151</f>
        <v/>
      </c>
      <c r="F1151" s="12" t="n"/>
    </row>
    <row r="1152">
      <c r="A1152" s="9">
        <f>Precos!A1152</f>
        <v/>
      </c>
      <c r="B1152" s="10">
        <f>INDEX(Precos!$B1152:$I1152,MATCH(Premissas!$B$8,Precos!$B$3:$I$3,0))</f>
        <v/>
      </c>
      <c r="C1152" s="10">
        <f>IF(AND(Premissas!$B$10&gt;1,A1152&lt;Premissas!$B$9),B1152*Premissas!$B$10,B1152)</f>
        <v/>
      </c>
      <c r="D1152" s="12" t="n"/>
      <c r="E1152" s="10">
        <f>Precos!J1152</f>
        <v/>
      </c>
      <c r="F1152" s="12" t="n"/>
    </row>
    <row r="1153">
      <c r="A1153" s="9">
        <f>Precos!A1153</f>
        <v/>
      </c>
      <c r="B1153" s="10">
        <f>INDEX(Precos!$B1153:$I1153,MATCH(Premissas!$B$8,Precos!$B$3:$I$3,0))</f>
        <v/>
      </c>
      <c r="C1153" s="10">
        <f>IF(AND(Premissas!$B$10&gt;1,A1153&lt;Premissas!$B$9),B1153*Premissas!$B$10,B1153)</f>
        <v/>
      </c>
      <c r="D1153" s="12" t="n"/>
      <c r="E1153" s="10">
        <f>Precos!J1153</f>
        <v/>
      </c>
      <c r="F1153" s="12" t="n"/>
    </row>
    <row r="1154">
      <c r="A1154" s="9">
        <f>Precos!A1154</f>
        <v/>
      </c>
      <c r="B1154" s="10">
        <f>INDEX(Precos!$B1154:$I1154,MATCH(Premissas!$B$8,Precos!$B$3:$I$3,0))</f>
        <v/>
      </c>
      <c r="C1154" s="10">
        <f>IF(AND(Premissas!$B$10&gt;1,A1154&lt;Premissas!$B$9),B1154*Premissas!$B$10,B1154)</f>
        <v/>
      </c>
      <c r="D1154" s="12" t="n"/>
      <c r="E1154" s="10">
        <f>Precos!J1154</f>
        <v/>
      </c>
      <c r="F1154" s="12" t="n"/>
    </row>
    <row r="1155">
      <c r="A1155" s="9">
        <f>Precos!A1155</f>
        <v/>
      </c>
      <c r="B1155" s="10">
        <f>INDEX(Precos!$B1155:$I1155,MATCH(Premissas!$B$8,Precos!$B$3:$I$3,0))</f>
        <v/>
      </c>
      <c r="C1155" s="10">
        <f>IF(AND(Premissas!$B$10&gt;1,A1155&lt;Premissas!$B$9),B1155*Premissas!$B$10,B1155)</f>
        <v/>
      </c>
      <c r="D1155" s="12" t="n"/>
      <c r="E1155" s="10">
        <f>Precos!J1155</f>
        <v/>
      </c>
      <c r="F1155" s="12" t="n"/>
    </row>
    <row r="1156">
      <c r="A1156" s="9">
        <f>Precos!A1156</f>
        <v/>
      </c>
      <c r="B1156" s="10">
        <f>INDEX(Precos!$B1156:$I1156,MATCH(Premissas!$B$8,Precos!$B$3:$I$3,0))</f>
        <v/>
      </c>
      <c r="C1156" s="10">
        <f>IF(AND(Premissas!$B$10&gt;1,A1156&lt;Premissas!$B$9),B1156*Premissas!$B$10,B1156)</f>
        <v/>
      </c>
      <c r="D1156" s="12" t="n"/>
      <c r="E1156" s="10">
        <f>Precos!J1156</f>
        <v/>
      </c>
      <c r="F1156" s="12" t="n"/>
    </row>
    <row r="1157">
      <c r="A1157" s="9">
        <f>Precos!A1157</f>
        <v/>
      </c>
      <c r="B1157" s="10">
        <f>INDEX(Precos!$B1157:$I1157,MATCH(Premissas!$B$8,Precos!$B$3:$I$3,0))</f>
        <v/>
      </c>
      <c r="C1157" s="10">
        <f>IF(AND(Premissas!$B$10&gt;1,A1157&lt;Premissas!$B$9),B1157*Premissas!$B$10,B1157)</f>
        <v/>
      </c>
      <c r="D1157" s="12" t="n"/>
      <c r="E1157" s="10">
        <f>Precos!J1157</f>
        <v/>
      </c>
      <c r="F1157" s="12" t="n"/>
    </row>
    <row r="1158">
      <c r="A1158" s="9">
        <f>Precos!A1158</f>
        <v/>
      </c>
      <c r="B1158" s="10">
        <f>INDEX(Precos!$B1158:$I1158,MATCH(Premissas!$B$8,Precos!$B$3:$I$3,0))</f>
        <v/>
      </c>
      <c r="C1158" s="10">
        <f>IF(AND(Premissas!$B$10&gt;1,A1158&lt;Premissas!$B$9),B1158*Premissas!$B$10,B1158)</f>
        <v/>
      </c>
      <c r="D1158" s="12" t="n"/>
      <c r="E1158" s="10">
        <f>Precos!J1158</f>
        <v/>
      </c>
      <c r="F1158" s="12" t="n"/>
    </row>
    <row r="1159">
      <c r="A1159" s="9">
        <f>Precos!A1159</f>
        <v/>
      </c>
      <c r="B1159" s="10">
        <f>INDEX(Precos!$B1159:$I1159,MATCH(Premissas!$B$8,Precos!$B$3:$I$3,0))</f>
        <v/>
      </c>
      <c r="C1159" s="10">
        <f>IF(AND(Premissas!$B$10&gt;1,A1159&lt;Premissas!$B$9),B1159*Premissas!$B$10,B1159)</f>
        <v/>
      </c>
      <c r="D1159" s="12" t="n"/>
      <c r="E1159" s="10">
        <f>Precos!J1159</f>
        <v/>
      </c>
      <c r="F1159" s="12" t="n"/>
    </row>
    <row r="1160">
      <c r="A1160" s="9">
        <f>Precos!A1160</f>
        <v/>
      </c>
      <c r="B1160" s="10">
        <f>INDEX(Precos!$B1160:$I1160,MATCH(Premissas!$B$8,Precos!$B$3:$I$3,0))</f>
        <v/>
      </c>
      <c r="C1160" s="10">
        <f>IF(AND(Premissas!$B$10&gt;1,A1160&lt;Premissas!$B$9),B1160*Premissas!$B$10,B1160)</f>
        <v/>
      </c>
      <c r="D1160" s="12" t="n"/>
      <c r="E1160" s="10">
        <f>Precos!J1160</f>
        <v/>
      </c>
      <c r="F1160" s="12" t="n"/>
    </row>
    <row r="1161">
      <c r="A1161" s="9">
        <f>Precos!A1161</f>
        <v/>
      </c>
      <c r="B1161" s="10">
        <f>INDEX(Precos!$B1161:$I1161,MATCH(Premissas!$B$8,Precos!$B$3:$I$3,0))</f>
        <v/>
      </c>
      <c r="C1161" s="10">
        <f>IF(AND(Premissas!$B$10&gt;1,A1161&lt;Premissas!$B$9),B1161*Premissas!$B$10,B1161)</f>
        <v/>
      </c>
      <c r="D1161" s="12" t="n"/>
      <c r="E1161" s="10">
        <f>Precos!J1161</f>
        <v/>
      </c>
      <c r="F1161" s="12" t="n"/>
    </row>
    <row r="1162">
      <c r="A1162" s="9">
        <f>Precos!A1162</f>
        <v/>
      </c>
      <c r="B1162" s="10">
        <f>INDEX(Precos!$B1162:$I1162,MATCH(Premissas!$B$8,Precos!$B$3:$I$3,0))</f>
        <v/>
      </c>
      <c r="C1162" s="10">
        <f>IF(AND(Premissas!$B$10&gt;1,A1162&lt;Premissas!$B$9),B1162*Premissas!$B$10,B1162)</f>
        <v/>
      </c>
      <c r="D1162" s="12" t="n"/>
      <c r="E1162" s="10">
        <f>Precos!J1162</f>
        <v/>
      </c>
      <c r="F1162" s="12" t="n"/>
    </row>
    <row r="1163">
      <c r="A1163" s="9">
        <f>Precos!A1163</f>
        <v/>
      </c>
      <c r="B1163" s="10">
        <f>INDEX(Precos!$B1163:$I1163,MATCH(Premissas!$B$8,Precos!$B$3:$I$3,0))</f>
        <v/>
      </c>
      <c r="C1163" s="10">
        <f>IF(AND(Premissas!$B$10&gt;1,A1163&lt;Premissas!$B$9),B1163*Premissas!$B$10,B1163)</f>
        <v/>
      </c>
      <c r="D1163" s="12" t="n"/>
      <c r="E1163" s="10">
        <f>Precos!J1163</f>
        <v/>
      </c>
      <c r="F1163" s="12" t="n"/>
    </row>
    <row r="1164">
      <c r="A1164" s="9">
        <f>Precos!A1164</f>
        <v/>
      </c>
      <c r="B1164" s="10">
        <f>INDEX(Precos!$B1164:$I1164,MATCH(Premissas!$B$8,Precos!$B$3:$I$3,0))</f>
        <v/>
      </c>
      <c r="C1164" s="10">
        <f>IF(AND(Premissas!$B$10&gt;1,A1164&lt;Premissas!$B$9),B1164*Premissas!$B$10,B1164)</f>
        <v/>
      </c>
      <c r="D1164" s="12" t="n"/>
      <c r="E1164" s="10">
        <f>Precos!J1164</f>
        <v/>
      </c>
      <c r="F1164" s="12" t="n"/>
    </row>
    <row r="1165">
      <c r="A1165" s="9">
        <f>Precos!A1165</f>
        <v/>
      </c>
      <c r="B1165" s="10">
        <f>INDEX(Precos!$B1165:$I1165,MATCH(Premissas!$B$8,Precos!$B$3:$I$3,0))</f>
        <v/>
      </c>
      <c r="C1165" s="10">
        <f>IF(AND(Premissas!$B$10&gt;1,A1165&lt;Premissas!$B$9),B1165*Premissas!$B$10,B1165)</f>
        <v/>
      </c>
      <c r="D1165" s="12" t="n"/>
      <c r="E1165" s="10">
        <f>Precos!J1165</f>
        <v/>
      </c>
      <c r="F1165" s="12" t="n"/>
    </row>
    <row r="1166">
      <c r="A1166" s="9">
        <f>Precos!A1166</f>
        <v/>
      </c>
      <c r="B1166" s="10">
        <f>INDEX(Precos!$B1166:$I1166,MATCH(Premissas!$B$8,Precos!$B$3:$I$3,0))</f>
        <v/>
      </c>
      <c r="C1166" s="10">
        <f>IF(AND(Premissas!$B$10&gt;1,A1166&lt;Premissas!$B$9),B1166*Premissas!$B$10,B1166)</f>
        <v/>
      </c>
      <c r="D1166" s="12" t="n"/>
      <c r="E1166" s="10">
        <f>Precos!J1166</f>
        <v/>
      </c>
      <c r="F1166" s="12" t="n"/>
    </row>
    <row r="1167">
      <c r="A1167" s="9">
        <f>Precos!A1167</f>
        <v/>
      </c>
      <c r="B1167" s="10">
        <f>INDEX(Precos!$B1167:$I1167,MATCH(Premissas!$B$8,Precos!$B$3:$I$3,0))</f>
        <v/>
      </c>
      <c r="C1167" s="10">
        <f>IF(AND(Premissas!$B$10&gt;1,A1167&lt;Premissas!$B$9),B1167*Premissas!$B$10,B1167)</f>
        <v/>
      </c>
      <c r="D1167" s="12" t="n"/>
      <c r="E1167" s="10">
        <f>Precos!J1167</f>
        <v/>
      </c>
      <c r="F1167" s="12" t="n"/>
    </row>
    <row r="1168">
      <c r="A1168" s="9">
        <f>Precos!A1168</f>
        <v/>
      </c>
      <c r="B1168" s="10">
        <f>INDEX(Precos!$B1168:$I1168,MATCH(Premissas!$B$8,Precos!$B$3:$I$3,0))</f>
        <v/>
      </c>
      <c r="C1168" s="10">
        <f>IF(AND(Premissas!$B$10&gt;1,A1168&lt;Premissas!$B$9),B1168*Premissas!$B$10,B1168)</f>
        <v/>
      </c>
      <c r="D1168" s="12" t="n"/>
      <c r="E1168" s="10">
        <f>Precos!J1168</f>
        <v/>
      </c>
      <c r="F1168" s="12" t="n"/>
    </row>
    <row r="1169">
      <c r="A1169" s="9">
        <f>Precos!A1169</f>
        <v/>
      </c>
      <c r="B1169" s="10">
        <f>INDEX(Precos!$B1169:$I1169,MATCH(Premissas!$B$8,Precos!$B$3:$I$3,0))</f>
        <v/>
      </c>
      <c r="C1169" s="10">
        <f>IF(AND(Premissas!$B$10&gt;1,A1169&lt;Premissas!$B$9),B1169*Premissas!$B$10,B1169)</f>
        <v/>
      </c>
      <c r="D1169" s="12" t="n"/>
      <c r="E1169" s="10">
        <f>Precos!J1169</f>
        <v/>
      </c>
      <c r="F1169" s="12" t="n"/>
    </row>
    <row r="1170">
      <c r="A1170" s="9">
        <f>Precos!A1170</f>
        <v/>
      </c>
      <c r="B1170" s="10">
        <f>INDEX(Precos!$B1170:$I1170,MATCH(Premissas!$B$8,Precos!$B$3:$I$3,0))</f>
        <v/>
      </c>
      <c r="C1170" s="10">
        <f>IF(AND(Premissas!$B$10&gt;1,A1170&lt;Premissas!$B$9),B1170*Premissas!$B$10,B1170)</f>
        <v/>
      </c>
      <c r="D1170" s="12" t="n"/>
      <c r="E1170" s="10">
        <f>Precos!J1170</f>
        <v/>
      </c>
      <c r="F1170" s="12" t="n"/>
    </row>
    <row r="1171">
      <c r="A1171" s="9">
        <f>Precos!A1171</f>
        <v/>
      </c>
      <c r="B1171" s="10">
        <f>INDEX(Precos!$B1171:$I1171,MATCH(Premissas!$B$8,Precos!$B$3:$I$3,0))</f>
        <v/>
      </c>
      <c r="C1171" s="10">
        <f>IF(AND(Premissas!$B$10&gt;1,A1171&lt;Premissas!$B$9),B1171*Premissas!$B$10,B1171)</f>
        <v/>
      </c>
      <c r="D1171" s="12" t="n"/>
      <c r="E1171" s="10">
        <f>Precos!J1171</f>
        <v/>
      </c>
      <c r="F1171" s="12" t="n"/>
    </row>
    <row r="1172">
      <c r="A1172" s="9">
        <f>Precos!A1172</f>
        <v/>
      </c>
      <c r="B1172" s="10">
        <f>INDEX(Precos!$B1172:$I1172,MATCH(Premissas!$B$8,Precos!$B$3:$I$3,0))</f>
        <v/>
      </c>
      <c r="C1172" s="10">
        <f>IF(AND(Premissas!$B$10&gt;1,A1172&lt;Premissas!$B$9),B1172*Premissas!$B$10,B1172)</f>
        <v/>
      </c>
      <c r="D1172" s="12" t="n"/>
      <c r="E1172" s="10">
        <f>Precos!J1172</f>
        <v/>
      </c>
      <c r="F1172" s="12" t="n"/>
    </row>
    <row r="1173">
      <c r="A1173" s="9">
        <f>Precos!A1173</f>
        <v/>
      </c>
      <c r="B1173" s="10">
        <f>INDEX(Precos!$B1173:$I1173,MATCH(Premissas!$B$8,Precos!$B$3:$I$3,0))</f>
        <v/>
      </c>
      <c r="C1173" s="10">
        <f>IF(AND(Premissas!$B$10&gt;1,A1173&lt;Premissas!$B$9),B1173*Premissas!$B$10,B1173)</f>
        <v/>
      </c>
      <c r="D1173" s="12" t="n"/>
      <c r="E1173" s="10">
        <f>Precos!J1173</f>
        <v/>
      </c>
      <c r="F1173" s="12" t="n"/>
    </row>
    <row r="1174">
      <c r="A1174" s="9">
        <f>Precos!A1174</f>
        <v/>
      </c>
      <c r="B1174" s="10">
        <f>INDEX(Precos!$B1174:$I1174,MATCH(Premissas!$B$8,Precos!$B$3:$I$3,0))</f>
        <v/>
      </c>
      <c r="C1174" s="10">
        <f>IF(AND(Premissas!$B$10&gt;1,A1174&lt;Premissas!$B$9),B1174*Premissas!$B$10,B1174)</f>
        <v/>
      </c>
      <c r="D1174" s="12" t="n"/>
      <c r="E1174" s="10">
        <f>Precos!J1174</f>
        <v/>
      </c>
      <c r="F1174" s="12" t="n"/>
    </row>
    <row r="1175">
      <c r="A1175" s="9">
        <f>Precos!A1175</f>
        <v/>
      </c>
      <c r="B1175" s="10">
        <f>INDEX(Precos!$B1175:$I1175,MATCH(Premissas!$B$8,Precos!$B$3:$I$3,0))</f>
        <v/>
      </c>
      <c r="C1175" s="10">
        <f>IF(AND(Premissas!$B$10&gt;1,A1175&lt;Premissas!$B$9),B1175*Premissas!$B$10,B1175)</f>
        <v/>
      </c>
      <c r="D1175" s="12" t="n"/>
      <c r="E1175" s="10">
        <f>Precos!J1175</f>
        <v/>
      </c>
      <c r="F1175" s="12" t="n"/>
    </row>
    <row r="1176">
      <c r="A1176" s="9">
        <f>Precos!A1176</f>
        <v/>
      </c>
      <c r="B1176" s="10">
        <f>INDEX(Precos!$B1176:$I1176,MATCH(Premissas!$B$8,Precos!$B$3:$I$3,0))</f>
        <v/>
      </c>
      <c r="C1176" s="10">
        <f>IF(AND(Premissas!$B$10&gt;1,A1176&lt;Premissas!$B$9),B1176*Premissas!$B$10,B1176)</f>
        <v/>
      </c>
      <c r="D1176" s="12" t="n"/>
      <c r="E1176" s="10">
        <f>Precos!J1176</f>
        <v/>
      </c>
      <c r="F1176" s="12" t="n"/>
    </row>
    <row r="1177">
      <c r="A1177" s="9">
        <f>Precos!A1177</f>
        <v/>
      </c>
      <c r="B1177" s="10">
        <f>INDEX(Precos!$B1177:$I1177,MATCH(Premissas!$B$8,Precos!$B$3:$I$3,0))</f>
        <v/>
      </c>
      <c r="C1177" s="10">
        <f>IF(AND(Premissas!$B$10&gt;1,A1177&lt;Premissas!$B$9),B1177*Premissas!$B$10,B1177)</f>
        <v/>
      </c>
      <c r="D1177" s="12" t="n"/>
      <c r="E1177" s="10">
        <f>Precos!J1177</f>
        <v/>
      </c>
      <c r="F1177" s="12" t="n"/>
    </row>
    <row r="1178">
      <c r="A1178" s="9">
        <f>Precos!A1178</f>
        <v/>
      </c>
      <c r="B1178" s="10">
        <f>INDEX(Precos!$B1178:$I1178,MATCH(Premissas!$B$8,Precos!$B$3:$I$3,0))</f>
        <v/>
      </c>
      <c r="C1178" s="10">
        <f>IF(AND(Premissas!$B$10&gt;1,A1178&lt;Premissas!$B$9),B1178*Premissas!$B$10,B1178)</f>
        <v/>
      </c>
      <c r="D1178" s="12" t="n"/>
      <c r="E1178" s="10">
        <f>Precos!J1178</f>
        <v/>
      </c>
      <c r="F1178" s="12" t="n"/>
    </row>
    <row r="1179">
      <c r="A1179" s="9">
        <f>Precos!A1179</f>
        <v/>
      </c>
      <c r="B1179" s="10">
        <f>INDEX(Precos!$B1179:$I1179,MATCH(Premissas!$B$8,Precos!$B$3:$I$3,0))</f>
        <v/>
      </c>
      <c r="C1179" s="10">
        <f>IF(AND(Premissas!$B$10&gt;1,A1179&lt;Premissas!$B$9),B1179*Premissas!$B$10,B1179)</f>
        <v/>
      </c>
      <c r="D1179" s="12" t="n"/>
      <c r="E1179" s="10">
        <f>Precos!J1179</f>
        <v/>
      </c>
      <c r="F1179" s="12" t="n"/>
    </row>
    <row r="1180">
      <c r="A1180" s="9">
        <f>Precos!A1180</f>
        <v/>
      </c>
      <c r="B1180" s="10">
        <f>INDEX(Precos!$B1180:$I1180,MATCH(Premissas!$B$8,Precos!$B$3:$I$3,0))</f>
        <v/>
      </c>
      <c r="C1180" s="10">
        <f>IF(AND(Premissas!$B$10&gt;1,A1180&lt;Premissas!$B$9),B1180*Premissas!$B$10,B1180)</f>
        <v/>
      </c>
      <c r="D1180" s="12" t="n"/>
      <c r="E1180" s="10">
        <f>Precos!J1180</f>
        <v/>
      </c>
      <c r="F1180" s="12" t="n"/>
    </row>
    <row r="1181">
      <c r="A1181" s="9">
        <f>Precos!A1181</f>
        <v/>
      </c>
      <c r="B1181" s="10">
        <f>INDEX(Precos!$B1181:$I1181,MATCH(Premissas!$B$8,Precos!$B$3:$I$3,0))</f>
        <v/>
      </c>
      <c r="C1181" s="10">
        <f>IF(AND(Premissas!$B$10&gt;1,A1181&lt;Premissas!$B$9),B1181*Premissas!$B$10,B1181)</f>
        <v/>
      </c>
      <c r="D1181" s="12" t="n"/>
      <c r="E1181" s="10">
        <f>Precos!J1181</f>
        <v/>
      </c>
      <c r="F1181" s="12" t="n"/>
    </row>
    <row r="1182">
      <c r="A1182" s="9">
        <f>Precos!A1182</f>
        <v/>
      </c>
      <c r="B1182" s="10">
        <f>INDEX(Precos!$B1182:$I1182,MATCH(Premissas!$B$8,Precos!$B$3:$I$3,0))</f>
        <v/>
      </c>
      <c r="C1182" s="10">
        <f>IF(AND(Premissas!$B$10&gt;1,A1182&lt;Premissas!$B$9),B1182*Premissas!$B$10,B1182)</f>
        <v/>
      </c>
      <c r="D1182" s="12" t="n"/>
      <c r="E1182" s="10">
        <f>Precos!J1182</f>
        <v/>
      </c>
      <c r="F1182" s="12" t="n"/>
    </row>
    <row r="1183">
      <c r="A1183" s="9">
        <f>Precos!A1183</f>
        <v/>
      </c>
      <c r="B1183" s="10">
        <f>INDEX(Precos!$B1183:$I1183,MATCH(Premissas!$B$8,Precos!$B$3:$I$3,0))</f>
        <v/>
      </c>
      <c r="C1183" s="10">
        <f>IF(AND(Premissas!$B$10&gt;1,A1183&lt;Premissas!$B$9),B1183*Premissas!$B$10,B1183)</f>
        <v/>
      </c>
      <c r="D1183" s="12" t="n"/>
      <c r="E1183" s="10">
        <f>Precos!J1183</f>
        <v/>
      </c>
      <c r="F1183" s="12" t="n"/>
    </row>
    <row r="1184">
      <c r="A1184" s="9">
        <f>Precos!A1184</f>
        <v/>
      </c>
      <c r="B1184" s="10">
        <f>INDEX(Precos!$B1184:$I1184,MATCH(Premissas!$B$8,Precos!$B$3:$I$3,0))</f>
        <v/>
      </c>
      <c r="C1184" s="10">
        <f>IF(AND(Premissas!$B$10&gt;1,A1184&lt;Premissas!$B$9),B1184*Premissas!$B$10,B1184)</f>
        <v/>
      </c>
      <c r="D1184" s="12" t="n"/>
      <c r="E1184" s="10">
        <f>Precos!J1184</f>
        <v/>
      </c>
      <c r="F1184" s="12" t="n"/>
    </row>
    <row r="1185">
      <c r="A1185" s="9">
        <f>Precos!A1185</f>
        <v/>
      </c>
      <c r="B1185" s="10">
        <f>INDEX(Precos!$B1185:$I1185,MATCH(Premissas!$B$8,Precos!$B$3:$I$3,0))</f>
        <v/>
      </c>
      <c r="C1185" s="10">
        <f>IF(AND(Premissas!$B$10&gt;1,A1185&lt;Premissas!$B$9),B1185*Premissas!$B$10,B1185)</f>
        <v/>
      </c>
      <c r="D1185" s="12" t="n"/>
      <c r="E1185" s="10">
        <f>Precos!J1185</f>
        <v/>
      </c>
      <c r="F1185" s="12" t="n"/>
    </row>
    <row r="1186">
      <c r="A1186" s="9">
        <f>Precos!A1186</f>
        <v/>
      </c>
      <c r="B1186" s="10">
        <f>INDEX(Precos!$B1186:$I1186,MATCH(Premissas!$B$8,Precos!$B$3:$I$3,0))</f>
        <v/>
      </c>
      <c r="C1186" s="10">
        <f>IF(AND(Premissas!$B$10&gt;1,A1186&lt;Premissas!$B$9),B1186*Premissas!$B$10,B1186)</f>
        <v/>
      </c>
      <c r="D1186" s="12" t="n"/>
      <c r="E1186" s="10">
        <f>Precos!J1186</f>
        <v/>
      </c>
      <c r="F1186" s="12" t="n"/>
    </row>
    <row r="1187">
      <c r="A1187" s="9">
        <f>Precos!A1187</f>
        <v/>
      </c>
      <c r="B1187" s="10">
        <f>INDEX(Precos!$B1187:$I1187,MATCH(Premissas!$B$8,Precos!$B$3:$I$3,0))</f>
        <v/>
      </c>
      <c r="C1187" s="10">
        <f>IF(AND(Premissas!$B$10&gt;1,A1187&lt;Premissas!$B$9),B1187*Premissas!$B$10,B1187)</f>
        <v/>
      </c>
      <c r="D1187" s="12" t="n"/>
      <c r="E1187" s="10">
        <f>Precos!J1187</f>
        <v/>
      </c>
      <c r="F1187" s="12" t="n"/>
    </row>
    <row r="1188">
      <c r="A1188" s="9">
        <f>Precos!A1188</f>
        <v/>
      </c>
      <c r="B1188" s="10">
        <f>INDEX(Precos!$B1188:$I1188,MATCH(Premissas!$B$8,Precos!$B$3:$I$3,0))</f>
        <v/>
      </c>
      <c r="C1188" s="10">
        <f>IF(AND(Premissas!$B$10&gt;1,A1188&lt;Premissas!$B$9),B1188*Premissas!$B$10,B1188)</f>
        <v/>
      </c>
      <c r="D1188" s="12" t="n"/>
      <c r="E1188" s="10">
        <f>Precos!J1188</f>
        <v/>
      </c>
      <c r="F1188" s="12" t="n"/>
    </row>
    <row r="1189">
      <c r="A1189" s="9">
        <f>Precos!A1189</f>
        <v/>
      </c>
      <c r="B1189" s="10">
        <f>INDEX(Precos!$B1189:$I1189,MATCH(Premissas!$B$8,Precos!$B$3:$I$3,0))</f>
        <v/>
      </c>
      <c r="C1189" s="10">
        <f>IF(AND(Premissas!$B$10&gt;1,A1189&lt;Premissas!$B$9),B1189*Premissas!$B$10,B1189)</f>
        <v/>
      </c>
      <c r="D1189" s="12" t="n"/>
      <c r="E1189" s="10">
        <f>Precos!J1189</f>
        <v/>
      </c>
      <c r="F1189" s="12" t="n"/>
    </row>
    <row r="1190">
      <c r="A1190" s="9">
        <f>Precos!A1190</f>
        <v/>
      </c>
      <c r="B1190" s="10">
        <f>INDEX(Precos!$B1190:$I1190,MATCH(Premissas!$B$8,Precos!$B$3:$I$3,0))</f>
        <v/>
      </c>
      <c r="C1190" s="10">
        <f>IF(AND(Premissas!$B$10&gt;1,A1190&lt;Premissas!$B$9),B1190*Premissas!$B$10,B1190)</f>
        <v/>
      </c>
      <c r="D1190" s="12" t="n"/>
      <c r="E1190" s="10">
        <f>Precos!J1190</f>
        <v/>
      </c>
      <c r="F1190" s="12" t="n"/>
    </row>
    <row r="1191">
      <c r="A1191" s="9">
        <f>Precos!A1191</f>
        <v/>
      </c>
      <c r="B1191" s="10">
        <f>INDEX(Precos!$B1191:$I1191,MATCH(Premissas!$B$8,Precos!$B$3:$I$3,0))</f>
        <v/>
      </c>
      <c r="C1191" s="10">
        <f>IF(AND(Premissas!$B$10&gt;1,A1191&lt;Premissas!$B$9),B1191*Premissas!$B$10,B1191)</f>
        <v/>
      </c>
      <c r="D1191" s="12" t="n"/>
      <c r="E1191" s="10">
        <f>Precos!J1191</f>
        <v/>
      </c>
      <c r="F1191" s="12" t="n"/>
    </row>
    <row r="1192">
      <c r="A1192" s="9">
        <f>Precos!A1192</f>
        <v/>
      </c>
      <c r="B1192" s="10">
        <f>INDEX(Precos!$B1192:$I1192,MATCH(Premissas!$B$8,Precos!$B$3:$I$3,0))</f>
        <v/>
      </c>
      <c r="C1192" s="10">
        <f>IF(AND(Premissas!$B$10&gt;1,A1192&lt;Premissas!$B$9),B1192*Premissas!$B$10,B1192)</f>
        <v/>
      </c>
      <c r="D1192" s="12" t="n"/>
      <c r="E1192" s="10">
        <f>Precos!J1192</f>
        <v/>
      </c>
      <c r="F1192" s="12" t="n"/>
    </row>
    <row r="1193">
      <c r="A1193" s="9">
        <f>Precos!A1193</f>
        <v/>
      </c>
      <c r="B1193" s="10">
        <f>INDEX(Precos!$B1193:$I1193,MATCH(Premissas!$B$8,Precos!$B$3:$I$3,0))</f>
        <v/>
      </c>
      <c r="C1193" s="10">
        <f>IF(AND(Premissas!$B$10&gt;1,A1193&lt;Premissas!$B$9),B1193*Premissas!$B$10,B1193)</f>
        <v/>
      </c>
      <c r="D1193" s="12" t="n"/>
      <c r="E1193" s="10">
        <f>Precos!J1193</f>
        <v/>
      </c>
      <c r="F1193" s="12" t="n"/>
    </row>
    <row r="1194">
      <c r="A1194" s="9">
        <f>Precos!A1194</f>
        <v/>
      </c>
      <c r="B1194" s="10">
        <f>INDEX(Precos!$B1194:$I1194,MATCH(Premissas!$B$8,Precos!$B$3:$I$3,0))</f>
        <v/>
      </c>
      <c r="C1194" s="10">
        <f>IF(AND(Premissas!$B$10&gt;1,A1194&lt;Premissas!$B$9),B1194*Premissas!$B$10,B1194)</f>
        <v/>
      </c>
      <c r="D1194" s="12" t="n"/>
      <c r="E1194" s="10">
        <f>Precos!J1194</f>
        <v/>
      </c>
      <c r="F1194" s="12" t="n"/>
    </row>
    <row r="1195">
      <c r="A1195" s="9">
        <f>Precos!A1195</f>
        <v/>
      </c>
      <c r="B1195" s="10">
        <f>INDEX(Precos!$B1195:$I1195,MATCH(Premissas!$B$8,Precos!$B$3:$I$3,0))</f>
        <v/>
      </c>
      <c r="C1195" s="10">
        <f>IF(AND(Premissas!$B$10&gt;1,A1195&lt;Premissas!$B$9),B1195*Premissas!$B$10,B1195)</f>
        <v/>
      </c>
      <c r="D1195" s="12" t="n"/>
      <c r="E1195" s="10">
        <f>Precos!J1195</f>
        <v/>
      </c>
      <c r="F1195" s="12" t="n"/>
    </row>
    <row r="1196">
      <c r="A1196" s="9">
        <f>Precos!A1196</f>
        <v/>
      </c>
      <c r="B1196" s="10">
        <f>INDEX(Precos!$B1196:$I1196,MATCH(Premissas!$B$8,Precos!$B$3:$I$3,0))</f>
        <v/>
      </c>
      <c r="C1196" s="10">
        <f>IF(AND(Premissas!$B$10&gt;1,A1196&lt;Premissas!$B$9),B1196*Premissas!$B$10,B1196)</f>
        <v/>
      </c>
      <c r="D1196" s="12" t="n"/>
      <c r="E1196" s="10">
        <f>Precos!J1196</f>
        <v/>
      </c>
      <c r="F1196" s="12" t="n"/>
    </row>
    <row r="1197">
      <c r="A1197" s="9">
        <f>Precos!A1197</f>
        <v/>
      </c>
      <c r="B1197" s="10">
        <f>INDEX(Precos!$B1197:$I1197,MATCH(Premissas!$B$8,Precos!$B$3:$I$3,0))</f>
        <v/>
      </c>
      <c r="C1197" s="10">
        <f>IF(AND(Premissas!$B$10&gt;1,A1197&lt;Premissas!$B$9),B1197*Premissas!$B$10,B1197)</f>
        <v/>
      </c>
      <c r="D1197" s="12" t="n"/>
      <c r="E1197" s="10">
        <f>Precos!J1197</f>
        <v/>
      </c>
      <c r="F1197" s="12" t="n"/>
    </row>
    <row r="1198">
      <c r="A1198" s="9">
        <f>Precos!A1198</f>
        <v/>
      </c>
      <c r="B1198" s="10">
        <f>INDEX(Precos!$B1198:$I1198,MATCH(Premissas!$B$8,Precos!$B$3:$I$3,0))</f>
        <v/>
      </c>
      <c r="C1198" s="10">
        <f>IF(AND(Premissas!$B$10&gt;1,A1198&lt;Premissas!$B$9),B1198*Premissas!$B$10,B1198)</f>
        <v/>
      </c>
      <c r="D1198" s="12" t="n"/>
      <c r="E1198" s="10">
        <f>Precos!J1198</f>
        <v/>
      </c>
      <c r="F1198" s="12" t="n"/>
    </row>
    <row r="1199">
      <c r="A1199" s="9">
        <f>Precos!A1199</f>
        <v/>
      </c>
      <c r="B1199" s="10">
        <f>INDEX(Precos!$B1199:$I1199,MATCH(Premissas!$B$8,Precos!$B$3:$I$3,0))</f>
        <v/>
      </c>
      <c r="C1199" s="10">
        <f>IF(AND(Premissas!$B$10&gt;1,A1199&lt;Premissas!$B$9),B1199*Premissas!$B$10,B1199)</f>
        <v/>
      </c>
      <c r="D1199" s="12" t="n"/>
      <c r="E1199" s="10">
        <f>Precos!J1199</f>
        <v/>
      </c>
      <c r="F1199" s="12" t="n"/>
    </row>
    <row r="1200">
      <c r="A1200" s="9">
        <f>Precos!A1200</f>
        <v/>
      </c>
      <c r="B1200" s="10">
        <f>INDEX(Precos!$B1200:$I1200,MATCH(Premissas!$B$8,Precos!$B$3:$I$3,0))</f>
        <v/>
      </c>
      <c r="C1200" s="10">
        <f>IF(AND(Premissas!$B$10&gt;1,A1200&lt;Premissas!$B$9),B1200*Premissas!$B$10,B1200)</f>
        <v/>
      </c>
      <c r="D1200" s="12" t="n"/>
      <c r="E1200" s="10">
        <f>Precos!J1200</f>
        <v/>
      </c>
      <c r="F1200" s="12" t="n"/>
    </row>
    <row r="1201">
      <c r="A1201" s="9">
        <f>Precos!A1201</f>
        <v/>
      </c>
      <c r="B1201" s="10">
        <f>INDEX(Precos!$B1201:$I1201,MATCH(Premissas!$B$8,Precos!$B$3:$I$3,0))</f>
        <v/>
      </c>
      <c r="C1201" s="10">
        <f>IF(AND(Premissas!$B$10&gt;1,A1201&lt;Premissas!$B$9),B1201*Premissas!$B$10,B1201)</f>
        <v/>
      </c>
      <c r="D1201" s="12" t="n"/>
      <c r="E1201" s="10">
        <f>Precos!J1201</f>
        <v/>
      </c>
      <c r="F1201" s="12" t="n"/>
    </row>
    <row r="1202">
      <c r="A1202" s="9">
        <f>Precos!A1202</f>
        <v/>
      </c>
      <c r="B1202" s="10">
        <f>INDEX(Precos!$B1202:$I1202,MATCH(Premissas!$B$8,Precos!$B$3:$I$3,0))</f>
        <v/>
      </c>
      <c r="C1202" s="10">
        <f>IF(AND(Premissas!$B$10&gt;1,A1202&lt;Premissas!$B$9),B1202*Premissas!$B$10,B1202)</f>
        <v/>
      </c>
      <c r="D1202" s="12" t="n"/>
      <c r="E1202" s="10">
        <f>Precos!J1202</f>
        <v/>
      </c>
      <c r="F1202" s="12" t="n"/>
    </row>
    <row r="1203">
      <c r="A1203" s="9">
        <f>Precos!A1203</f>
        <v/>
      </c>
      <c r="B1203" s="10">
        <f>INDEX(Precos!$B1203:$I1203,MATCH(Premissas!$B$8,Precos!$B$3:$I$3,0))</f>
        <v/>
      </c>
      <c r="C1203" s="10">
        <f>IF(AND(Premissas!$B$10&gt;1,A1203&lt;Premissas!$B$9),B1203*Premissas!$B$10,B1203)</f>
        <v/>
      </c>
      <c r="D1203" s="12" t="n"/>
      <c r="E1203" s="10">
        <f>Precos!J1203</f>
        <v/>
      </c>
      <c r="F1203" s="12" t="n"/>
    </row>
    <row r="1204">
      <c r="A1204" s="9">
        <f>Precos!A1204</f>
        <v/>
      </c>
      <c r="B1204" s="10">
        <f>INDEX(Precos!$B1204:$I1204,MATCH(Premissas!$B$8,Precos!$B$3:$I$3,0))</f>
        <v/>
      </c>
      <c r="C1204" s="10">
        <f>IF(AND(Premissas!$B$10&gt;1,A1204&lt;Premissas!$B$9),B1204*Premissas!$B$10,B1204)</f>
        <v/>
      </c>
      <c r="D1204" s="12" t="n"/>
      <c r="E1204" s="10">
        <f>Precos!J1204</f>
        <v/>
      </c>
      <c r="F1204" s="12" t="n"/>
    </row>
    <row r="1205">
      <c r="A1205" s="9">
        <f>Precos!A1205</f>
        <v/>
      </c>
      <c r="B1205" s="10">
        <f>INDEX(Precos!$B1205:$I1205,MATCH(Premissas!$B$8,Precos!$B$3:$I$3,0))</f>
        <v/>
      </c>
      <c r="C1205" s="10">
        <f>IF(AND(Premissas!$B$10&gt;1,A1205&lt;Premissas!$B$9),B1205*Premissas!$B$10,B1205)</f>
        <v/>
      </c>
      <c r="D1205" s="12" t="n"/>
      <c r="E1205" s="10">
        <f>Precos!J1205</f>
        <v/>
      </c>
      <c r="F1205" s="12" t="n"/>
    </row>
    <row r="1206">
      <c r="A1206" s="9">
        <f>Precos!A1206</f>
        <v/>
      </c>
      <c r="B1206" s="10">
        <f>INDEX(Precos!$B1206:$I1206,MATCH(Premissas!$B$8,Precos!$B$3:$I$3,0))</f>
        <v/>
      </c>
      <c r="C1206" s="10">
        <f>IF(AND(Premissas!$B$10&gt;1,A1206&lt;Premissas!$B$9),B1206*Premissas!$B$10,B1206)</f>
        <v/>
      </c>
      <c r="D1206" s="12" t="n"/>
      <c r="E1206" s="10">
        <f>Precos!J1206</f>
        <v/>
      </c>
      <c r="F1206" s="12" t="n"/>
    </row>
    <row r="1207">
      <c r="A1207" s="9">
        <f>Precos!A1207</f>
        <v/>
      </c>
      <c r="B1207" s="10">
        <f>INDEX(Precos!$B1207:$I1207,MATCH(Premissas!$B$8,Precos!$B$3:$I$3,0))</f>
        <v/>
      </c>
      <c r="C1207" s="10">
        <f>IF(AND(Premissas!$B$10&gt;1,A1207&lt;Premissas!$B$9),B1207*Premissas!$B$10,B1207)</f>
        <v/>
      </c>
      <c r="D1207" s="12" t="n"/>
      <c r="E1207" s="10">
        <f>Precos!J1207</f>
        <v/>
      </c>
      <c r="F1207" s="12" t="n"/>
    </row>
    <row r="1208">
      <c r="A1208" s="9">
        <f>Precos!A1208</f>
        <v/>
      </c>
      <c r="B1208" s="10">
        <f>INDEX(Precos!$B1208:$I1208,MATCH(Premissas!$B$8,Precos!$B$3:$I$3,0))</f>
        <v/>
      </c>
      <c r="C1208" s="10">
        <f>IF(AND(Premissas!$B$10&gt;1,A1208&lt;Premissas!$B$9),B1208*Premissas!$B$10,B1208)</f>
        <v/>
      </c>
      <c r="D1208" s="12" t="n"/>
      <c r="E1208" s="10">
        <f>Precos!J1208</f>
        <v/>
      </c>
      <c r="F1208" s="12" t="n"/>
    </row>
    <row r="1209">
      <c r="A1209" s="9">
        <f>Precos!A1209</f>
        <v/>
      </c>
      <c r="B1209" s="10">
        <f>INDEX(Precos!$B1209:$I1209,MATCH(Premissas!$B$8,Precos!$B$3:$I$3,0))</f>
        <v/>
      </c>
      <c r="C1209" s="10">
        <f>IF(AND(Premissas!$B$10&gt;1,A1209&lt;Premissas!$B$9),B1209*Premissas!$B$10,B1209)</f>
        <v/>
      </c>
      <c r="D1209" s="12" t="n"/>
      <c r="E1209" s="10">
        <f>Precos!J1209</f>
        <v/>
      </c>
      <c r="F1209" s="12" t="n"/>
    </row>
    <row r="1210">
      <c r="A1210" s="9">
        <f>Precos!A1210</f>
        <v/>
      </c>
      <c r="B1210" s="10">
        <f>INDEX(Precos!$B1210:$I1210,MATCH(Premissas!$B$8,Precos!$B$3:$I$3,0))</f>
        <v/>
      </c>
      <c r="C1210" s="10">
        <f>IF(AND(Premissas!$B$10&gt;1,A1210&lt;Premissas!$B$9),B1210*Premissas!$B$10,B1210)</f>
        <v/>
      </c>
      <c r="D1210" s="12" t="n"/>
      <c r="E1210" s="10">
        <f>Precos!J1210</f>
        <v/>
      </c>
      <c r="F1210" s="12" t="n"/>
    </row>
    <row r="1211">
      <c r="A1211" s="9">
        <f>Precos!A1211</f>
        <v/>
      </c>
      <c r="B1211" s="10">
        <f>INDEX(Precos!$B1211:$I1211,MATCH(Premissas!$B$8,Precos!$B$3:$I$3,0))</f>
        <v/>
      </c>
      <c r="C1211" s="10">
        <f>IF(AND(Premissas!$B$10&gt;1,A1211&lt;Premissas!$B$9),B1211*Premissas!$B$10,B1211)</f>
        <v/>
      </c>
      <c r="D1211" s="12" t="n"/>
      <c r="E1211" s="10">
        <f>Precos!J1211</f>
        <v/>
      </c>
      <c r="F1211" s="12" t="n"/>
    </row>
    <row r="1212">
      <c r="A1212" s="9">
        <f>Precos!A1212</f>
        <v/>
      </c>
      <c r="B1212" s="10">
        <f>INDEX(Precos!$B1212:$I1212,MATCH(Premissas!$B$8,Precos!$B$3:$I$3,0))</f>
        <v/>
      </c>
      <c r="C1212" s="10">
        <f>IF(AND(Premissas!$B$10&gt;1,A1212&lt;Premissas!$B$9),B1212*Premissas!$B$10,B1212)</f>
        <v/>
      </c>
      <c r="D1212" s="12" t="n"/>
      <c r="E1212" s="10">
        <f>Precos!J1212</f>
        <v/>
      </c>
      <c r="F1212" s="12" t="n"/>
    </row>
    <row r="1213">
      <c r="A1213" s="9">
        <f>Precos!A1213</f>
        <v/>
      </c>
      <c r="B1213" s="10">
        <f>INDEX(Precos!$B1213:$I1213,MATCH(Premissas!$B$8,Precos!$B$3:$I$3,0))</f>
        <v/>
      </c>
      <c r="C1213" s="10">
        <f>IF(AND(Premissas!$B$10&gt;1,A1213&lt;Premissas!$B$9),B1213*Premissas!$B$10,B1213)</f>
        <v/>
      </c>
      <c r="D1213" s="12" t="n"/>
      <c r="E1213" s="10">
        <f>Precos!J1213</f>
        <v/>
      </c>
      <c r="F1213" s="12" t="n"/>
    </row>
    <row r="1214">
      <c r="A1214" s="9">
        <f>Precos!A1214</f>
        <v/>
      </c>
      <c r="B1214" s="10">
        <f>INDEX(Precos!$B1214:$I1214,MATCH(Premissas!$B$8,Precos!$B$3:$I$3,0))</f>
        <v/>
      </c>
      <c r="C1214" s="10">
        <f>IF(AND(Premissas!$B$10&gt;1,A1214&lt;Premissas!$B$9),B1214*Premissas!$B$10,B1214)</f>
        <v/>
      </c>
      <c r="D1214" s="12" t="n"/>
      <c r="E1214" s="10">
        <f>Precos!J1214</f>
        <v/>
      </c>
      <c r="F1214" s="12" t="n"/>
    </row>
    <row r="1215">
      <c r="A1215" s="9">
        <f>Precos!A1215</f>
        <v/>
      </c>
      <c r="B1215" s="10">
        <f>INDEX(Precos!$B1215:$I1215,MATCH(Premissas!$B$8,Precos!$B$3:$I$3,0))</f>
        <v/>
      </c>
      <c r="C1215" s="10">
        <f>IF(AND(Premissas!$B$10&gt;1,A1215&lt;Premissas!$B$9),B1215*Premissas!$B$10,B1215)</f>
        <v/>
      </c>
      <c r="D1215" s="12" t="n"/>
      <c r="E1215" s="10">
        <f>Precos!J1215</f>
        <v/>
      </c>
      <c r="F1215" s="12" t="n"/>
    </row>
    <row r="1216">
      <c r="A1216" s="9">
        <f>Precos!A1216</f>
        <v/>
      </c>
      <c r="B1216" s="10">
        <f>INDEX(Precos!$B1216:$I1216,MATCH(Premissas!$B$8,Precos!$B$3:$I$3,0))</f>
        <v/>
      </c>
      <c r="C1216" s="10">
        <f>IF(AND(Premissas!$B$10&gt;1,A1216&lt;Premissas!$B$9),B1216*Premissas!$B$10,B1216)</f>
        <v/>
      </c>
      <c r="D1216" s="12" t="n"/>
      <c r="E1216" s="10">
        <f>Precos!J1216</f>
        <v/>
      </c>
      <c r="F1216" s="12" t="n"/>
    </row>
    <row r="1217">
      <c r="A1217" s="9">
        <f>Precos!A1217</f>
        <v/>
      </c>
      <c r="B1217" s="10">
        <f>INDEX(Precos!$B1217:$I1217,MATCH(Premissas!$B$8,Precos!$B$3:$I$3,0))</f>
        <v/>
      </c>
      <c r="C1217" s="10">
        <f>IF(AND(Premissas!$B$10&gt;1,A1217&lt;Premissas!$B$9),B1217*Premissas!$B$10,B1217)</f>
        <v/>
      </c>
      <c r="D1217" s="12" t="n"/>
      <c r="E1217" s="10">
        <f>Precos!J1217</f>
        <v/>
      </c>
      <c r="F1217" s="12" t="n"/>
    </row>
    <row r="1218">
      <c r="A1218" s="9">
        <f>Precos!A1218</f>
        <v/>
      </c>
      <c r="B1218" s="10">
        <f>INDEX(Precos!$B1218:$I1218,MATCH(Premissas!$B$8,Precos!$B$3:$I$3,0))</f>
        <v/>
      </c>
      <c r="C1218" s="10">
        <f>IF(AND(Premissas!$B$10&gt;1,A1218&lt;Premissas!$B$9),B1218*Premissas!$B$10,B1218)</f>
        <v/>
      </c>
      <c r="D1218" s="12" t="n"/>
      <c r="E1218" s="10">
        <f>Precos!J1218</f>
        <v/>
      </c>
      <c r="F1218" s="12" t="n"/>
    </row>
    <row r="1219">
      <c r="A1219" s="9">
        <f>Precos!A1219</f>
        <v/>
      </c>
      <c r="B1219" s="10">
        <f>INDEX(Precos!$B1219:$I1219,MATCH(Premissas!$B$8,Precos!$B$3:$I$3,0))</f>
        <v/>
      </c>
      <c r="C1219" s="10">
        <f>IF(AND(Premissas!$B$10&gt;1,A1219&lt;Premissas!$B$9),B1219*Premissas!$B$10,B1219)</f>
        <v/>
      </c>
      <c r="D1219" s="12" t="n"/>
      <c r="E1219" s="10">
        <f>Precos!J1219</f>
        <v/>
      </c>
      <c r="F1219" s="12" t="n"/>
    </row>
    <row r="1220">
      <c r="A1220" s="9">
        <f>Precos!A1220</f>
        <v/>
      </c>
      <c r="B1220" s="10">
        <f>INDEX(Precos!$B1220:$I1220,MATCH(Premissas!$B$8,Precos!$B$3:$I$3,0))</f>
        <v/>
      </c>
      <c r="C1220" s="10">
        <f>IF(AND(Premissas!$B$10&gt;1,A1220&lt;Premissas!$B$9),B1220*Premissas!$B$10,B1220)</f>
        <v/>
      </c>
      <c r="D1220" s="12" t="n"/>
      <c r="E1220" s="10">
        <f>Precos!J1220</f>
        <v/>
      </c>
      <c r="F1220" s="12" t="n"/>
    </row>
    <row r="1221">
      <c r="A1221" s="9">
        <f>Precos!A1221</f>
        <v/>
      </c>
      <c r="B1221" s="10">
        <f>INDEX(Precos!$B1221:$I1221,MATCH(Premissas!$B$8,Precos!$B$3:$I$3,0))</f>
        <v/>
      </c>
      <c r="C1221" s="10">
        <f>IF(AND(Premissas!$B$10&gt;1,A1221&lt;Premissas!$B$9),B1221*Premissas!$B$10,B1221)</f>
        <v/>
      </c>
      <c r="D1221" s="12" t="n"/>
      <c r="E1221" s="10">
        <f>Precos!J1221</f>
        <v/>
      </c>
      <c r="F1221" s="12" t="n"/>
    </row>
    <row r="1222">
      <c r="A1222" s="9">
        <f>Precos!A1222</f>
        <v/>
      </c>
      <c r="B1222" s="10">
        <f>INDEX(Precos!$B1222:$I1222,MATCH(Premissas!$B$8,Precos!$B$3:$I$3,0))</f>
        <v/>
      </c>
      <c r="C1222" s="10">
        <f>IF(AND(Premissas!$B$10&gt;1,A1222&lt;Premissas!$B$9),B1222*Premissas!$B$10,B1222)</f>
        <v/>
      </c>
      <c r="D1222" s="12" t="n"/>
      <c r="E1222" s="10">
        <f>Precos!J1222</f>
        <v/>
      </c>
      <c r="F1222" s="12" t="n"/>
    </row>
    <row r="1223">
      <c r="A1223" s="9">
        <f>Precos!A1223</f>
        <v/>
      </c>
      <c r="B1223" s="10">
        <f>INDEX(Precos!$B1223:$I1223,MATCH(Premissas!$B$8,Precos!$B$3:$I$3,0))</f>
        <v/>
      </c>
      <c r="C1223" s="10">
        <f>IF(AND(Premissas!$B$10&gt;1,A1223&lt;Premissas!$B$9),B1223*Premissas!$B$10,B1223)</f>
        <v/>
      </c>
      <c r="D1223" s="12" t="n"/>
      <c r="E1223" s="10">
        <f>Precos!J1223</f>
        <v/>
      </c>
      <c r="F1223" s="12" t="n"/>
    </row>
    <row r="1224">
      <c r="A1224" s="9">
        <f>Precos!A1224</f>
        <v/>
      </c>
      <c r="B1224" s="10">
        <f>INDEX(Precos!$B1224:$I1224,MATCH(Premissas!$B$8,Precos!$B$3:$I$3,0))</f>
        <v/>
      </c>
      <c r="C1224" s="10">
        <f>IF(AND(Premissas!$B$10&gt;1,A1224&lt;Premissas!$B$9),B1224*Premissas!$B$10,B1224)</f>
        <v/>
      </c>
      <c r="D1224" s="12" t="n"/>
      <c r="E1224" s="10">
        <f>Precos!J1224</f>
        <v/>
      </c>
      <c r="F1224" s="12" t="n"/>
    </row>
    <row r="1225">
      <c r="A1225" s="9">
        <f>Precos!A1225</f>
        <v/>
      </c>
      <c r="B1225" s="10">
        <f>INDEX(Precos!$B1225:$I1225,MATCH(Premissas!$B$8,Precos!$B$3:$I$3,0))</f>
        <v/>
      </c>
      <c r="C1225" s="10">
        <f>IF(AND(Premissas!$B$10&gt;1,A1225&lt;Premissas!$B$9),B1225*Premissas!$B$10,B1225)</f>
        <v/>
      </c>
      <c r="D1225" s="12" t="n"/>
      <c r="E1225" s="10">
        <f>Precos!J1225</f>
        <v/>
      </c>
      <c r="F1225" s="12" t="n"/>
    </row>
    <row r="1226">
      <c r="A1226" s="9">
        <f>Precos!A1226</f>
        <v/>
      </c>
      <c r="B1226" s="10">
        <f>INDEX(Precos!$B1226:$I1226,MATCH(Premissas!$B$8,Precos!$B$3:$I$3,0))</f>
        <v/>
      </c>
      <c r="C1226" s="10">
        <f>IF(AND(Premissas!$B$10&gt;1,A1226&lt;Premissas!$B$9),B1226*Premissas!$B$10,B1226)</f>
        <v/>
      </c>
      <c r="D1226" s="12" t="n"/>
      <c r="E1226" s="10">
        <f>Precos!J1226</f>
        <v/>
      </c>
      <c r="F1226" s="12" t="n"/>
    </row>
    <row r="1227">
      <c r="A1227" s="9">
        <f>Precos!A1227</f>
        <v/>
      </c>
      <c r="B1227" s="10">
        <f>INDEX(Precos!$B1227:$I1227,MATCH(Premissas!$B$8,Precos!$B$3:$I$3,0))</f>
        <v/>
      </c>
      <c r="C1227" s="10">
        <f>IF(AND(Premissas!$B$10&gt;1,A1227&lt;Premissas!$B$9),B1227*Premissas!$B$10,B1227)</f>
        <v/>
      </c>
      <c r="D1227" s="12" t="n"/>
      <c r="E1227" s="10">
        <f>Precos!J1227</f>
        <v/>
      </c>
      <c r="F1227" s="12" t="n"/>
    </row>
    <row r="1228">
      <c r="A1228" s="9">
        <f>Precos!A1228</f>
        <v/>
      </c>
      <c r="B1228" s="10">
        <f>INDEX(Precos!$B1228:$I1228,MATCH(Premissas!$B$8,Precos!$B$3:$I$3,0))</f>
        <v/>
      </c>
      <c r="C1228" s="10">
        <f>IF(AND(Premissas!$B$10&gt;1,A1228&lt;Premissas!$B$9),B1228*Premissas!$B$10,B1228)</f>
        <v/>
      </c>
      <c r="D1228" s="12" t="n"/>
      <c r="E1228" s="10">
        <f>Precos!J1228</f>
        <v/>
      </c>
      <c r="F1228" s="12" t="n"/>
    </row>
    <row r="1229">
      <c r="A1229" s="9">
        <f>Precos!A1229</f>
        <v/>
      </c>
      <c r="B1229" s="10">
        <f>INDEX(Precos!$B1229:$I1229,MATCH(Premissas!$B$8,Precos!$B$3:$I$3,0))</f>
        <v/>
      </c>
      <c r="C1229" s="10">
        <f>IF(AND(Premissas!$B$10&gt;1,A1229&lt;Premissas!$B$9),B1229*Premissas!$B$10,B1229)</f>
        <v/>
      </c>
      <c r="D1229" s="12" t="n"/>
      <c r="E1229" s="10">
        <f>Precos!J1229</f>
        <v/>
      </c>
      <c r="F1229" s="12" t="n"/>
    </row>
    <row r="1230">
      <c r="A1230" s="9">
        <f>Precos!A1230</f>
        <v/>
      </c>
      <c r="B1230" s="10">
        <f>INDEX(Precos!$B1230:$I1230,MATCH(Premissas!$B$8,Precos!$B$3:$I$3,0))</f>
        <v/>
      </c>
      <c r="C1230" s="10">
        <f>IF(AND(Premissas!$B$10&gt;1,A1230&lt;Premissas!$B$9),B1230*Premissas!$B$10,B1230)</f>
        <v/>
      </c>
      <c r="D1230" s="12" t="n"/>
      <c r="E1230" s="10">
        <f>Precos!J1230</f>
        <v/>
      </c>
      <c r="F1230" s="12" t="n"/>
    </row>
    <row r="1231">
      <c r="A1231" s="9">
        <f>Precos!A1231</f>
        <v/>
      </c>
      <c r="B1231" s="10">
        <f>INDEX(Precos!$B1231:$I1231,MATCH(Premissas!$B$8,Precos!$B$3:$I$3,0))</f>
        <v/>
      </c>
      <c r="C1231" s="10">
        <f>IF(AND(Premissas!$B$10&gt;1,A1231&lt;Premissas!$B$9),B1231*Premissas!$B$10,B1231)</f>
        <v/>
      </c>
      <c r="D1231" s="12" t="n"/>
      <c r="E1231" s="10">
        <f>Precos!J1231</f>
        <v/>
      </c>
      <c r="F1231" s="12" t="n"/>
    </row>
    <row r="1232">
      <c r="A1232" s="9">
        <f>Precos!A1232</f>
        <v/>
      </c>
      <c r="B1232" s="10">
        <f>INDEX(Precos!$B1232:$I1232,MATCH(Premissas!$B$8,Precos!$B$3:$I$3,0))</f>
        <v/>
      </c>
      <c r="C1232" s="10">
        <f>IF(AND(Premissas!$B$10&gt;1,A1232&lt;Premissas!$B$9),B1232*Premissas!$B$10,B1232)</f>
        <v/>
      </c>
      <c r="D1232" s="12" t="n"/>
      <c r="E1232" s="10">
        <f>Precos!J1232</f>
        <v/>
      </c>
      <c r="F1232" s="12" t="n"/>
    </row>
    <row r="1233">
      <c r="A1233" s="9">
        <f>Precos!A1233</f>
        <v/>
      </c>
      <c r="B1233" s="10">
        <f>INDEX(Precos!$B1233:$I1233,MATCH(Premissas!$B$8,Precos!$B$3:$I$3,0))</f>
        <v/>
      </c>
      <c r="C1233" s="10">
        <f>IF(AND(Premissas!$B$10&gt;1,A1233&lt;Premissas!$B$9),B1233*Premissas!$B$10,B1233)</f>
        <v/>
      </c>
      <c r="D1233" s="12" t="n"/>
      <c r="E1233" s="10">
        <f>Precos!J1233</f>
        <v/>
      </c>
      <c r="F1233" s="12" t="n"/>
    </row>
    <row r="1234">
      <c r="A1234" s="9">
        <f>Precos!A1234</f>
        <v/>
      </c>
      <c r="B1234" s="10">
        <f>INDEX(Precos!$B1234:$I1234,MATCH(Premissas!$B$8,Precos!$B$3:$I$3,0))</f>
        <v/>
      </c>
      <c r="C1234" s="10">
        <f>IF(AND(Premissas!$B$10&gt;1,A1234&lt;Premissas!$B$9),B1234*Premissas!$B$10,B1234)</f>
        <v/>
      </c>
      <c r="D1234" s="12" t="n"/>
      <c r="E1234" s="10">
        <f>Precos!J1234</f>
        <v/>
      </c>
      <c r="F1234" s="12" t="n"/>
    </row>
    <row r="1235">
      <c r="A1235" s="9">
        <f>Precos!A1235</f>
        <v/>
      </c>
      <c r="B1235" s="10">
        <f>INDEX(Precos!$B1235:$I1235,MATCH(Premissas!$B$8,Precos!$B$3:$I$3,0))</f>
        <v/>
      </c>
      <c r="C1235" s="10">
        <f>IF(AND(Premissas!$B$10&gt;1,A1235&lt;Premissas!$B$9),B1235*Premissas!$B$10,B1235)</f>
        <v/>
      </c>
      <c r="D1235" s="12" t="n"/>
      <c r="E1235" s="10">
        <f>Precos!J1235</f>
        <v/>
      </c>
      <c r="F1235" s="12" t="n"/>
    </row>
    <row r="1236">
      <c r="A1236" s="9">
        <f>Precos!A1236</f>
        <v/>
      </c>
      <c r="B1236" s="10">
        <f>INDEX(Precos!$B1236:$I1236,MATCH(Premissas!$B$8,Precos!$B$3:$I$3,0))</f>
        <v/>
      </c>
      <c r="C1236" s="10">
        <f>IF(AND(Premissas!$B$10&gt;1,A1236&lt;Premissas!$B$9),B1236*Premissas!$B$10,B1236)</f>
        <v/>
      </c>
      <c r="D1236" s="12" t="n"/>
      <c r="E1236" s="10">
        <f>Precos!J1236</f>
        <v/>
      </c>
      <c r="F1236" s="12" t="n"/>
    </row>
    <row r="1237">
      <c r="A1237" s="9">
        <f>Precos!A1237</f>
        <v/>
      </c>
      <c r="B1237" s="10">
        <f>INDEX(Precos!$B1237:$I1237,MATCH(Premissas!$B$8,Precos!$B$3:$I$3,0))</f>
        <v/>
      </c>
      <c r="C1237" s="10">
        <f>IF(AND(Premissas!$B$10&gt;1,A1237&lt;Premissas!$B$9),B1237*Premissas!$B$10,B1237)</f>
        <v/>
      </c>
      <c r="D1237" s="12" t="n"/>
      <c r="E1237" s="10">
        <f>Precos!J1237</f>
        <v/>
      </c>
      <c r="F1237" s="12" t="n"/>
    </row>
    <row r="1238">
      <c r="A1238" s="9">
        <f>Precos!A1238</f>
        <v/>
      </c>
      <c r="B1238" s="10">
        <f>INDEX(Precos!$B1238:$I1238,MATCH(Premissas!$B$8,Precos!$B$3:$I$3,0))</f>
        <v/>
      </c>
      <c r="C1238" s="10">
        <f>IF(AND(Premissas!$B$10&gt;1,A1238&lt;Premissas!$B$9),B1238*Premissas!$B$10,B1238)</f>
        <v/>
      </c>
      <c r="D1238" s="12" t="n"/>
      <c r="E1238" s="10">
        <f>Precos!J1238</f>
        <v/>
      </c>
      <c r="F1238" s="12" t="n"/>
    </row>
    <row r="1239">
      <c r="A1239" s="9">
        <f>Precos!A1239</f>
        <v/>
      </c>
      <c r="B1239" s="10">
        <f>INDEX(Precos!$B1239:$I1239,MATCH(Premissas!$B$8,Precos!$B$3:$I$3,0))</f>
        <v/>
      </c>
      <c r="C1239" s="10">
        <f>IF(AND(Premissas!$B$10&gt;1,A1239&lt;Premissas!$B$9),B1239*Premissas!$B$10,B1239)</f>
        <v/>
      </c>
      <c r="D1239" s="12" t="n"/>
      <c r="E1239" s="10">
        <f>Precos!J1239</f>
        <v/>
      </c>
      <c r="F1239" s="12" t="n"/>
    </row>
    <row r="1240">
      <c r="A1240" s="9">
        <f>Precos!A1240</f>
        <v/>
      </c>
      <c r="B1240" s="10">
        <f>INDEX(Precos!$B1240:$I1240,MATCH(Premissas!$B$8,Precos!$B$3:$I$3,0))</f>
        <v/>
      </c>
      <c r="C1240" s="10">
        <f>IF(AND(Premissas!$B$10&gt;1,A1240&lt;Premissas!$B$9),B1240*Premissas!$B$10,B1240)</f>
        <v/>
      </c>
      <c r="D1240" s="12" t="n"/>
      <c r="E1240" s="10">
        <f>Precos!J1240</f>
        <v/>
      </c>
      <c r="F1240" s="12" t="n"/>
    </row>
    <row r="1241">
      <c r="A1241" s="9">
        <f>Precos!A1241</f>
        <v/>
      </c>
      <c r="B1241" s="10">
        <f>INDEX(Precos!$B1241:$I1241,MATCH(Premissas!$B$8,Precos!$B$3:$I$3,0))</f>
        <v/>
      </c>
      <c r="C1241" s="10">
        <f>IF(AND(Premissas!$B$10&gt;1,A1241&lt;Premissas!$B$9),B1241*Premissas!$B$10,B1241)</f>
        <v/>
      </c>
      <c r="D1241" s="12" t="n"/>
      <c r="E1241" s="10">
        <f>Precos!J1241</f>
        <v/>
      </c>
      <c r="F1241" s="12" t="n"/>
    </row>
    <row r="1242">
      <c r="A1242" s="9">
        <f>Precos!A1242</f>
        <v/>
      </c>
      <c r="B1242" s="10">
        <f>INDEX(Precos!$B1242:$I1242,MATCH(Premissas!$B$8,Precos!$B$3:$I$3,0))</f>
        <v/>
      </c>
      <c r="C1242" s="10">
        <f>IF(AND(Premissas!$B$10&gt;1,A1242&lt;Premissas!$B$9),B1242*Premissas!$B$10,B1242)</f>
        <v/>
      </c>
      <c r="D1242" s="12" t="n"/>
      <c r="E1242" s="10">
        <f>Precos!J1242</f>
        <v/>
      </c>
      <c r="F1242" s="12" t="n"/>
    </row>
    <row r="1243">
      <c r="A1243" s="9">
        <f>Precos!A1243</f>
        <v/>
      </c>
      <c r="B1243" s="10">
        <f>INDEX(Precos!$B1243:$I1243,MATCH(Premissas!$B$8,Precos!$B$3:$I$3,0))</f>
        <v/>
      </c>
      <c r="C1243" s="10">
        <f>IF(AND(Premissas!$B$10&gt;1,A1243&lt;Premissas!$B$9),B1243*Premissas!$B$10,B1243)</f>
        <v/>
      </c>
      <c r="D1243" s="12" t="n"/>
      <c r="E1243" s="10">
        <f>Precos!J1243</f>
        <v/>
      </c>
      <c r="F1243" s="12" t="n"/>
    </row>
    <row r="1244">
      <c r="A1244" s="9">
        <f>Precos!A1244</f>
        <v/>
      </c>
      <c r="B1244" s="10">
        <f>INDEX(Precos!$B1244:$I1244,MATCH(Premissas!$B$8,Precos!$B$3:$I$3,0))</f>
        <v/>
      </c>
      <c r="C1244" s="10">
        <f>IF(AND(Premissas!$B$10&gt;1,A1244&lt;Premissas!$B$9),B1244*Premissas!$B$10,B1244)</f>
        <v/>
      </c>
      <c r="D1244" s="12" t="n"/>
      <c r="E1244" s="10">
        <f>Precos!J1244</f>
        <v/>
      </c>
      <c r="F1244" s="12" t="n"/>
    </row>
    <row r="1245">
      <c r="A1245" s="9">
        <f>Precos!A1245</f>
        <v/>
      </c>
      <c r="B1245" s="10">
        <f>INDEX(Precos!$B1245:$I1245,MATCH(Premissas!$B$8,Precos!$B$3:$I$3,0))</f>
        <v/>
      </c>
      <c r="C1245" s="10">
        <f>IF(AND(Premissas!$B$10&gt;1,A1245&lt;Premissas!$B$9),B1245*Premissas!$B$10,B1245)</f>
        <v/>
      </c>
      <c r="D1245" s="12" t="n"/>
      <c r="E1245" s="10">
        <f>Precos!J1245</f>
        <v/>
      </c>
      <c r="F1245" s="12" t="n"/>
    </row>
    <row r="1246">
      <c r="A1246" s="9">
        <f>Precos!A1246</f>
        <v/>
      </c>
      <c r="B1246" s="10">
        <f>INDEX(Precos!$B1246:$I1246,MATCH(Premissas!$B$8,Precos!$B$3:$I$3,0))</f>
        <v/>
      </c>
      <c r="C1246" s="10">
        <f>IF(AND(Premissas!$B$10&gt;1,A1246&lt;Premissas!$B$9),B1246*Premissas!$B$10,B1246)</f>
        <v/>
      </c>
      <c r="D1246" s="12" t="n"/>
      <c r="E1246" s="10">
        <f>Precos!J1246</f>
        <v/>
      </c>
      <c r="F1246" s="12" t="n"/>
    </row>
    <row r="1247">
      <c r="A1247" s="9">
        <f>Precos!A1247</f>
        <v/>
      </c>
      <c r="B1247" s="10">
        <f>INDEX(Precos!$B1247:$I1247,MATCH(Premissas!$B$8,Precos!$B$3:$I$3,0))</f>
        <v/>
      </c>
      <c r="C1247" s="10">
        <f>IF(AND(Premissas!$B$10&gt;1,A1247&lt;Premissas!$B$9),B1247*Premissas!$B$10,B1247)</f>
        <v/>
      </c>
      <c r="D1247" s="12" t="n"/>
      <c r="E1247" s="10">
        <f>Precos!J1247</f>
        <v/>
      </c>
      <c r="F1247" s="12" t="n"/>
    </row>
    <row r="1248">
      <c r="A1248" s="9">
        <f>Precos!A1248</f>
        <v/>
      </c>
      <c r="B1248" s="10">
        <f>INDEX(Precos!$B1248:$I1248,MATCH(Premissas!$B$8,Precos!$B$3:$I$3,0))</f>
        <v/>
      </c>
      <c r="C1248" s="10">
        <f>IF(AND(Premissas!$B$10&gt;1,A1248&lt;Premissas!$B$9),B1248*Premissas!$B$10,B1248)</f>
        <v/>
      </c>
      <c r="D1248" s="12" t="n"/>
      <c r="E1248" s="10">
        <f>Precos!J1248</f>
        <v/>
      </c>
      <c r="F1248" s="12" t="n"/>
    </row>
    <row r="1249">
      <c r="A1249" s="9">
        <f>Precos!A1249</f>
        <v/>
      </c>
      <c r="B1249" s="10">
        <f>INDEX(Precos!$B1249:$I1249,MATCH(Premissas!$B$8,Precos!$B$3:$I$3,0))</f>
        <v/>
      </c>
      <c r="C1249" s="10">
        <f>IF(AND(Premissas!$B$10&gt;1,A1249&lt;Premissas!$B$9),B1249*Premissas!$B$10,B1249)</f>
        <v/>
      </c>
      <c r="D1249" s="12" t="n"/>
      <c r="E1249" s="10">
        <f>Precos!J1249</f>
        <v/>
      </c>
      <c r="F1249" s="12" t="n"/>
    </row>
    <row r="1250">
      <c r="A1250" s="9">
        <f>Precos!A1250</f>
        <v/>
      </c>
      <c r="B1250" s="10">
        <f>INDEX(Precos!$B1250:$I1250,MATCH(Premissas!$B$8,Precos!$B$3:$I$3,0))</f>
        <v/>
      </c>
      <c r="C1250" s="10">
        <f>IF(AND(Premissas!$B$10&gt;1,A1250&lt;Premissas!$B$9),B1250*Premissas!$B$10,B1250)</f>
        <v/>
      </c>
      <c r="D1250" s="12" t="n"/>
      <c r="E1250" s="10">
        <f>Precos!J1250</f>
        <v/>
      </c>
      <c r="F1250" s="12" t="n"/>
    </row>
    <row r="1251">
      <c r="A1251" s="9">
        <f>Precos!A1251</f>
        <v/>
      </c>
      <c r="B1251" s="10">
        <f>INDEX(Precos!$B1251:$I1251,MATCH(Premissas!$B$8,Precos!$B$3:$I$3,0))</f>
        <v/>
      </c>
      <c r="C1251" s="10">
        <f>IF(AND(Premissas!$B$10&gt;1,A1251&lt;Premissas!$B$9),B1251*Premissas!$B$10,B1251)</f>
        <v/>
      </c>
      <c r="D1251" s="12" t="n"/>
      <c r="E1251" s="10">
        <f>Precos!J1251</f>
        <v/>
      </c>
      <c r="F1251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30" customWidth="1" min="5" max="5"/>
    <col width="16" customWidth="1" min="6" max="6"/>
    <col width="38" customWidth="1" min="7" max="7"/>
  </cols>
  <sheetData>
    <row r="1">
      <c r="A1" s="1" t="inlineStr">
        <is>
          <t>O que a série da sua empresa diz</t>
        </is>
      </c>
    </row>
    <row r="2">
      <c r="A2" s="2" t="inlineStr">
        <is>
          <t>Complete as células amarelas.</t>
        </is>
      </c>
    </row>
    <row r="4">
      <c r="A4" s="4" t="inlineStr">
        <is>
          <t>SUA EMPRESA</t>
        </is>
      </c>
      <c r="B4" s="4">
        <f>Premissas!B8</f>
        <v/>
      </c>
      <c r="E4" s="4" t="inlineStr">
        <is>
          <t>BOVA11 · o índice inteiro</t>
        </is>
      </c>
    </row>
    <row r="5">
      <c r="A5" s="4" t="inlineStr">
        <is>
          <t>Estatísticas</t>
        </is>
      </c>
      <c r="E5" s="4" t="inlineStr">
        <is>
          <t>Estatísticas</t>
        </is>
      </c>
    </row>
    <row r="6">
      <c r="A6" s="3" t="inlineStr">
        <is>
          <t>Observações (retornos)</t>
        </is>
      </c>
      <c r="B6" s="13">
        <f>COUNT(Empresa!D5:D1251)</f>
        <v/>
      </c>
      <c r="E6" s="3" t="inlineStr">
        <is>
          <t>Observações (retornos)</t>
        </is>
      </c>
      <c r="F6" s="13">
        <f>COUNT(Empresa!F5:F1251)</f>
        <v/>
      </c>
    </row>
    <row r="7">
      <c r="A7" s="3" t="inlineStr">
        <is>
          <t>Retorno médio ao dia</t>
        </is>
      </c>
      <c r="B7" s="14" t="n"/>
      <c r="E7" s="3" t="inlineStr">
        <is>
          <t>Retorno médio ao dia</t>
        </is>
      </c>
      <c r="F7" s="14" t="n"/>
    </row>
    <row r="8">
      <c r="A8" s="3" t="inlineStr">
        <is>
          <t>Variância ao dia</t>
        </is>
      </c>
      <c r="B8" s="15" t="n"/>
      <c r="C8" s="2" t="inlineStr">
        <is>
          <t>no Excel: VAR.A</t>
        </is>
      </c>
      <c r="E8" s="3" t="inlineStr">
        <is>
          <t>Variância ao dia</t>
        </is>
      </c>
      <c r="F8" s="15" t="n"/>
      <c r="G8" s="2" t="inlineStr">
        <is>
          <t>no Excel: VAR.A</t>
        </is>
      </c>
    </row>
    <row r="9">
      <c r="A9" s="3" t="inlineStr">
        <is>
          <t>Desvio-padrão ao dia</t>
        </is>
      </c>
      <c r="B9" s="16" t="n"/>
      <c r="C9" s="2" t="inlineStr">
        <is>
          <t>no Excel: DESVPAD.A</t>
        </is>
      </c>
      <c r="E9" s="3" t="inlineStr">
        <is>
          <t>Desvio-padrão ao dia</t>
        </is>
      </c>
      <c r="F9" s="16" t="n"/>
      <c r="G9" s="2" t="inlineStr">
        <is>
          <t>no Excel: DESVPAD.A</t>
        </is>
      </c>
    </row>
    <row r="10">
      <c r="A10" s="3" t="inlineStr">
        <is>
          <t>Retorno médio ao ano</t>
        </is>
      </c>
      <c r="B10" s="17" t="n"/>
      <c r="C10" s="2" t="inlineStr">
        <is>
          <t>no Excel: MÉDIA</t>
        </is>
      </c>
      <c r="E10" s="3" t="inlineStr">
        <is>
          <t>Retorno médio ao ano</t>
        </is>
      </c>
      <c r="F10" s="17" t="n"/>
      <c r="G10" s="2" t="inlineStr">
        <is>
          <t>no Excel: MÉDIA</t>
        </is>
      </c>
    </row>
    <row r="11">
      <c r="A11" s="3" t="inlineStr">
        <is>
          <t>Desvio-padrão ao ano</t>
        </is>
      </c>
      <c r="B11" s="17" t="n"/>
      <c r="E11" s="3" t="inlineStr">
        <is>
          <t>Desvio-padrão ao ano</t>
        </is>
      </c>
      <c r="F11" s="17" t="n"/>
    </row>
    <row r="12">
      <c r="A12" s="3" t="inlineStr">
        <is>
          <t>Coeficiente de variação</t>
        </is>
      </c>
      <c r="B12" s="18" t="n"/>
      <c r="C12" s="2" t="inlineStr">
        <is>
          <t>sem sentido com retorno negativo</t>
        </is>
      </c>
      <c r="E12" s="3" t="inlineStr">
        <is>
          <t>Coeficiente de variação</t>
        </is>
      </c>
      <c r="F12" s="18" t="n"/>
      <c r="G12" s="2" t="inlineStr">
        <is>
          <t>sem sentido com retorno negativo</t>
        </is>
      </c>
    </row>
    <row r="14">
      <c r="E14" s="2" t="inlineStr">
        <is>
          <t>Compare o desvio do índice com o da sua empresa e comente em uma frase no notebook.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  <col width="20" customWidth="1" min="5" max="5"/>
  </cols>
  <sheetData>
    <row r="1">
      <c r="A1" s="1" t="inlineStr">
        <is>
          <t>Sua empresa com o BOVA11</t>
        </is>
      </c>
    </row>
    <row r="2">
      <c r="A2" s="2" t="inlineStr">
        <is>
          <t>Os três termos da variância, separados de propósito.</t>
        </is>
      </c>
    </row>
    <row r="3">
      <c r="E3" s="19" t="inlineStr">
        <is>
          <t>Retorno da carteira</t>
        </is>
      </c>
    </row>
    <row r="4">
      <c r="A4" s="4" t="inlineStr">
        <is>
          <t>Carteira com dois ativos</t>
        </is>
      </c>
    </row>
    <row r="5">
      <c r="A5" s="3" t="inlineStr">
        <is>
          <t>Desvio ao ano · sua empresa</t>
        </is>
      </c>
      <c r="B5" s="20" t="n"/>
      <c r="E5" s="21">
        <f>$B$9*Empresa!D5+$B$10*Empresa!F5</f>
        <v/>
      </c>
      <c r="F5" s="2" t="inlineStr">
        <is>
          <t>exemplo pronto: copie para baixo até o fim da série</t>
        </is>
      </c>
    </row>
    <row r="6">
      <c r="A6" s="3" t="inlineStr">
        <is>
          <t>Desvio ao ano · BOVA11</t>
        </is>
      </c>
      <c r="B6" s="20" t="n"/>
      <c r="E6" s="12" t="n"/>
    </row>
    <row r="7">
      <c r="A7" s="3" t="inlineStr">
        <is>
          <t>Covariância ao ano</t>
        </is>
      </c>
      <c r="B7" s="22" t="n"/>
      <c r="E7" s="12" t="n"/>
    </row>
    <row r="8">
      <c r="A8" s="3" t="inlineStr">
        <is>
          <t>Correlação</t>
        </is>
      </c>
      <c r="B8" s="23" t="n"/>
      <c r="E8" s="12" t="n"/>
    </row>
    <row r="9">
      <c r="A9" s="3" t="inlineStr">
        <is>
          <t>Peso em sua empresa</t>
        </is>
      </c>
      <c r="B9" s="24" t="n">
        <v>0.5</v>
      </c>
      <c r="C9" s="2" t="inlineStr">
        <is>
          <t>mude este peso e veja o desvio da carteira mudar</t>
        </is>
      </c>
      <c r="E9" s="12" t="n"/>
    </row>
    <row r="10">
      <c r="A10" s="3" t="inlineStr">
        <is>
          <t>Peso em BOVA11</t>
        </is>
      </c>
      <c r="B10" s="25">
        <f>1-B9</f>
        <v/>
      </c>
      <c r="E10" s="12" t="n"/>
    </row>
    <row r="11">
      <c r="A11" s="3" t="inlineStr">
        <is>
          <t>Termo 1: w1²σ1²</t>
        </is>
      </c>
      <c r="B11" s="22" t="n"/>
      <c r="E11" s="12" t="n"/>
    </row>
    <row r="12">
      <c r="A12" s="3" t="inlineStr">
        <is>
          <t>Termo 2: w2²σ2²</t>
        </is>
      </c>
      <c r="B12" s="22" t="n"/>
      <c r="E12" s="12" t="n"/>
    </row>
    <row r="13">
      <c r="A13" s="3" t="inlineStr">
        <is>
          <t>Termo 3: 2w1w2σ12</t>
        </is>
      </c>
      <c r="B13" s="22" t="n"/>
      <c r="C13" s="2" t="inlineStr">
        <is>
          <t>o único termo que pode ser negativo</t>
        </is>
      </c>
      <c r="E13" s="12" t="n"/>
    </row>
    <row r="14">
      <c r="A14" s="3" t="inlineStr">
        <is>
          <t>Variância da carteira</t>
        </is>
      </c>
      <c r="B14" s="22" t="n"/>
      <c r="E14" s="12" t="n"/>
    </row>
    <row r="15">
      <c r="A15" s="3" t="inlineStr">
        <is>
          <t>Desvio da carteira ao ano</t>
        </is>
      </c>
      <c r="B15" s="17" t="n"/>
      <c r="E15" s="12" t="n"/>
    </row>
    <row r="16">
      <c r="A16" s="3" t="inlineStr">
        <is>
          <t>Retorno da carteira ao ano</t>
        </is>
      </c>
      <c r="B16" s="20" t="n"/>
      <c r="E16" s="12" t="n"/>
    </row>
    <row r="17">
      <c r="A17" s="4" t="inlineStr">
        <is>
          <t>O mesmo número pelo caminho longo</t>
        </is>
      </c>
      <c r="C17" s="2" t="inlineStr">
        <is>
          <t>a coluna E monta o retorno da carteira dia a dia; aqui só se aplica MÉDIA e DESVPAD.A nela</t>
        </is>
      </c>
      <c r="E17" s="12" t="n"/>
    </row>
    <row r="18">
      <c r="A18" s="3" t="inlineStr">
        <is>
          <t>Retorno ao ano, pela série</t>
        </is>
      </c>
      <c r="B18" s="20" t="n"/>
      <c r="E18" s="12" t="n"/>
    </row>
    <row r="19">
      <c r="A19" s="3" t="inlineStr">
        <is>
          <t>Desvio ao ano, pela série</t>
        </is>
      </c>
      <c r="B19" s="20" t="n"/>
      <c r="E19" s="12" t="n"/>
    </row>
    <row r="20">
      <c r="A20" s="3" t="inlineStr">
        <is>
          <t>Diferença no retorno</t>
        </is>
      </c>
      <c r="B20" s="26">
        <f>B18-$B$16</f>
        <v/>
      </c>
      <c r="C20" s="2" t="inlineStr">
        <is>
          <t>as duas diferenças têm de dar zero</t>
        </is>
      </c>
      <c r="E20" s="12" t="n"/>
    </row>
    <row r="21">
      <c r="A21" s="3" t="inlineStr">
        <is>
          <t>Diferença no desvio</t>
        </is>
      </c>
      <c r="B21" s="26">
        <f>B19-$B$15</f>
        <v/>
      </c>
      <c r="E21" s="12" t="n"/>
    </row>
    <row r="22">
      <c r="E22" s="12" t="n"/>
    </row>
    <row r="23">
      <c r="E23" s="12" t="n"/>
    </row>
    <row r="24">
      <c r="A24" s="2" t="inlineStr">
        <is>
          <t>Pergunta para responder no notebook: o desvio da carteira ficou entre os dois? Por quê?</t>
        </is>
      </c>
      <c r="E24" s="12" t="n"/>
    </row>
    <row r="25">
      <c r="E25" s="12" t="n"/>
    </row>
    <row r="26">
      <c r="E26" s="12" t="n"/>
    </row>
    <row r="27">
      <c r="E27" s="12" t="n"/>
    </row>
    <row r="28">
      <c r="E28" s="12" t="n"/>
    </row>
    <row r="29">
      <c r="E29" s="12" t="n"/>
    </row>
    <row r="30">
      <c r="E30" s="12" t="n"/>
    </row>
    <row r="31"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  <row r="501">
      <c r="E501" s="12" t="n"/>
    </row>
    <row r="502">
      <c r="E502" s="12" t="n"/>
    </row>
    <row r="503">
      <c r="E503" s="12" t="n"/>
    </row>
    <row r="504">
      <c r="E504" s="12" t="n"/>
    </row>
    <row r="505">
      <c r="E505" s="12" t="n"/>
    </row>
    <row r="506">
      <c r="E506" s="12" t="n"/>
    </row>
    <row r="507">
      <c r="E507" s="12" t="n"/>
    </row>
    <row r="508">
      <c r="E508" s="12" t="n"/>
    </row>
    <row r="509">
      <c r="E509" s="12" t="n"/>
    </row>
    <row r="510">
      <c r="E510" s="12" t="n"/>
    </row>
    <row r="511">
      <c r="E511" s="12" t="n"/>
    </row>
    <row r="512">
      <c r="E512" s="12" t="n"/>
    </row>
    <row r="513">
      <c r="E513" s="12" t="n"/>
    </row>
    <row r="514">
      <c r="E514" s="12" t="n"/>
    </row>
    <row r="515">
      <c r="E515" s="12" t="n"/>
    </row>
    <row r="516">
      <c r="E516" s="12" t="n"/>
    </row>
    <row r="517">
      <c r="E517" s="12" t="n"/>
    </row>
    <row r="518">
      <c r="E518" s="12" t="n"/>
    </row>
    <row r="519">
      <c r="E519" s="12" t="n"/>
    </row>
    <row r="520">
      <c r="E520" s="12" t="n"/>
    </row>
    <row r="521">
      <c r="E521" s="12" t="n"/>
    </row>
    <row r="522">
      <c r="E522" s="12" t="n"/>
    </row>
    <row r="523">
      <c r="E523" s="12" t="n"/>
    </row>
    <row r="524">
      <c r="E524" s="12" t="n"/>
    </row>
    <row r="525">
      <c r="E525" s="12" t="n"/>
    </row>
    <row r="526">
      <c r="E526" s="12" t="n"/>
    </row>
    <row r="527">
      <c r="E527" s="12" t="n"/>
    </row>
    <row r="528">
      <c r="E528" s="12" t="n"/>
    </row>
    <row r="529">
      <c r="E529" s="12" t="n"/>
    </row>
    <row r="530">
      <c r="E530" s="12" t="n"/>
    </row>
    <row r="531">
      <c r="E531" s="12" t="n"/>
    </row>
    <row r="532">
      <c r="E532" s="12" t="n"/>
    </row>
    <row r="533">
      <c r="E533" s="12" t="n"/>
    </row>
    <row r="534">
      <c r="E534" s="12" t="n"/>
    </row>
    <row r="535">
      <c r="E535" s="12" t="n"/>
    </row>
    <row r="536">
      <c r="E536" s="12" t="n"/>
    </row>
    <row r="537">
      <c r="E537" s="12" t="n"/>
    </row>
    <row r="538">
      <c r="E538" s="12" t="n"/>
    </row>
    <row r="539">
      <c r="E539" s="12" t="n"/>
    </row>
    <row r="540">
      <c r="E540" s="12" t="n"/>
    </row>
    <row r="541">
      <c r="E541" s="12" t="n"/>
    </row>
    <row r="542">
      <c r="E542" s="12" t="n"/>
    </row>
    <row r="543">
      <c r="E543" s="12" t="n"/>
    </row>
    <row r="544">
      <c r="E544" s="12" t="n"/>
    </row>
    <row r="545">
      <c r="E545" s="12" t="n"/>
    </row>
    <row r="546">
      <c r="E546" s="12" t="n"/>
    </row>
    <row r="547">
      <c r="E547" s="12" t="n"/>
    </row>
    <row r="548">
      <c r="E548" s="12" t="n"/>
    </row>
    <row r="549">
      <c r="E549" s="12" t="n"/>
    </row>
    <row r="550">
      <c r="E550" s="12" t="n"/>
    </row>
    <row r="551">
      <c r="E551" s="12" t="n"/>
    </row>
    <row r="552">
      <c r="E552" s="12" t="n"/>
    </row>
    <row r="553">
      <c r="E553" s="12" t="n"/>
    </row>
    <row r="554">
      <c r="E554" s="12" t="n"/>
    </row>
    <row r="555">
      <c r="E555" s="12" t="n"/>
    </row>
    <row r="556">
      <c r="E556" s="12" t="n"/>
    </row>
    <row r="557">
      <c r="E557" s="12" t="n"/>
    </row>
    <row r="558">
      <c r="E558" s="12" t="n"/>
    </row>
    <row r="559">
      <c r="E559" s="12" t="n"/>
    </row>
    <row r="560">
      <c r="E560" s="12" t="n"/>
    </row>
    <row r="561">
      <c r="E561" s="12" t="n"/>
    </row>
    <row r="562">
      <c r="E562" s="12" t="n"/>
    </row>
    <row r="563">
      <c r="E563" s="12" t="n"/>
    </row>
    <row r="564">
      <c r="E564" s="12" t="n"/>
    </row>
    <row r="565">
      <c r="E565" s="12" t="n"/>
    </row>
    <row r="566">
      <c r="E566" s="12" t="n"/>
    </row>
    <row r="567">
      <c r="E567" s="12" t="n"/>
    </row>
    <row r="568">
      <c r="E568" s="12" t="n"/>
    </row>
    <row r="569">
      <c r="E569" s="12" t="n"/>
    </row>
    <row r="570">
      <c r="E570" s="12" t="n"/>
    </row>
    <row r="571">
      <c r="E571" s="12" t="n"/>
    </row>
    <row r="572">
      <c r="E572" s="12" t="n"/>
    </row>
    <row r="573">
      <c r="E573" s="12" t="n"/>
    </row>
    <row r="574">
      <c r="E574" s="12" t="n"/>
    </row>
    <row r="575">
      <c r="E575" s="12" t="n"/>
    </row>
    <row r="576">
      <c r="E576" s="12" t="n"/>
    </row>
    <row r="577">
      <c r="E577" s="12" t="n"/>
    </row>
    <row r="578">
      <c r="E578" s="12" t="n"/>
    </row>
    <row r="579">
      <c r="E579" s="12" t="n"/>
    </row>
    <row r="580">
      <c r="E580" s="12" t="n"/>
    </row>
    <row r="581">
      <c r="E581" s="12" t="n"/>
    </row>
    <row r="582">
      <c r="E582" s="12" t="n"/>
    </row>
    <row r="583">
      <c r="E583" s="12" t="n"/>
    </row>
    <row r="584">
      <c r="E584" s="12" t="n"/>
    </row>
    <row r="585">
      <c r="E585" s="12" t="n"/>
    </row>
    <row r="586">
      <c r="E586" s="12" t="n"/>
    </row>
    <row r="587">
      <c r="E587" s="12" t="n"/>
    </row>
    <row r="588">
      <c r="E588" s="12" t="n"/>
    </row>
    <row r="589">
      <c r="E589" s="12" t="n"/>
    </row>
    <row r="590">
      <c r="E590" s="12" t="n"/>
    </row>
    <row r="591">
      <c r="E591" s="12" t="n"/>
    </row>
    <row r="592">
      <c r="E592" s="12" t="n"/>
    </row>
    <row r="593">
      <c r="E593" s="12" t="n"/>
    </row>
    <row r="594">
      <c r="E594" s="12" t="n"/>
    </row>
    <row r="595">
      <c r="E595" s="12" t="n"/>
    </row>
    <row r="596">
      <c r="E596" s="12" t="n"/>
    </row>
    <row r="597">
      <c r="E597" s="12" t="n"/>
    </row>
    <row r="598">
      <c r="E598" s="12" t="n"/>
    </row>
    <row r="599">
      <c r="E599" s="12" t="n"/>
    </row>
    <row r="600">
      <c r="E600" s="12" t="n"/>
    </row>
    <row r="601">
      <c r="E601" s="12" t="n"/>
    </row>
    <row r="602">
      <c r="E602" s="12" t="n"/>
    </row>
    <row r="603">
      <c r="E603" s="12" t="n"/>
    </row>
    <row r="604">
      <c r="E604" s="12" t="n"/>
    </row>
    <row r="605">
      <c r="E605" s="12" t="n"/>
    </row>
    <row r="606">
      <c r="E606" s="12" t="n"/>
    </row>
    <row r="607">
      <c r="E607" s="12" t="n"/>
    </row>
    <row r="608">
      <c r="E608" s="12" t="n"/>
    </row>
    <row r="609">
      <c r="E609" s="12" t="n"/>
    </row>
    <row r="610">
      <c r="E610" s="12" t="n"/>
    </row>
    <row r="611">
      <c r="E611" s="12" t="n"/>
    </row>
    <row r="612">
      <c r="E612" s="12" t="n"/>
    </row>
    <row r="613">
      <c r="E613" s="12" t="n"/>
    </row>
    <row r="614">
      <c r="E614" s="12" t="n"/>
    </row>
    <row r="615">
      <c r="E615" s="12" t="n"/>
    </row>
    <row r="616">
      <c r="E616" s="12" t="n"/>
    </row>
    <row r="617">
      <c r="E617" s="12" t="n"/>
    </row>
    <row r="618">
      <c r="E618" s="12" t="n"/>
    </row>
    <row r="619">
      <c r="E619" s="12" t="n"/>
    </row>
    <row r="620">
      <c r="E620" s="12" t="n"/>
    </row>
    <row r="621">
      <c r="E621" s="12" t="n"/>
    </row>
    <row r="622">
      <c r="E622" s="12" t="n"/>
    </row>
    <row r="623">
      <c r="E623" s="12" t="n"/>
    </row>
    <row r="624">
      <c r="E624" s="12" t="n"/>
    </row>
    <row r="625">
      <c r="E625" s="12" t="n"/>
    </row>
    <row r="626">
      <c r="E626" s="12" t="n"/>
    </row>
    <row r="627">
      <c r="E627" s="12" t="n"/>
    </row>
    <row r="628">
      <c r="E628" s="12" t="n"/>
    </row>
    <row r="629">
      <c r="E629" s="12" t="n"/>
    </row>
    <row r="630">
      <c r="E630" s="12" t="n"/>
    </row>
    <row r="631">
      <c r="E631" s="12" t="n"/>
    </row>
    <row r="632">
      <c r="E632" s="12" t="n"/>
    </row>
    <row r="633">
      <c r="E633" s="12" t="n"/>
    </row>
    <row r="634">
      <c r="E634" s="12" t="n"/>
    </row>
    <row r="635">
      <c r="E635" s="12" t="n"/>
    </row>
    <row r="636">
      <c r="E636" s="12" t="n"/>
    </row>
    <row r="637">
      <c r="E637" s="12" t="n"/>
    </row>
    <row r="638">
      <c r="E638" s="12" t="n"/>
    </row>
    <row r="639">
      <c r="E639" s="12" t="n"/>
    </row>
    <row r="640">
      <c r="E640" s="12" t="n"/>
    </row>
    <row r="641">
      <c r="E641" s="12" t="n"/>
    </row>
    <row r="642">
      <c r="E642" s="12" t="n"/>
    </row>
    <row r="643">
      <c r="E643" s="12" t="n"/>
    </row>
    <row r="644">
      <c r="E644" s="12" t="n"/>
    </row>
    <row r="645">
      <c r="E645" s="12" t="n"/>
    </row>
    <row r="646">
      <c r="E646" s="12" t="n"/>
    </row>
    <row r="647">
      <c r="E647" s="12" t="n"/>
    </row>
    <row r="648">
      <c r="E648" s="12" t="n"/>
    </row>
    <row r="649">
      <c r="E649" s="12" t="n"/>
    </row>
    <row r="650">
      <c r="E650" s="12" t="n"/>
    </row>
    <row r="651">
      <c r="E651" s="12" t="n"/>
    </row>
    <row r="652">
      <c r="E652" s="12" t="n"/>
    </row>
    <row r="653">
      <c r="E653" s="12" t="n"/>
    </row>
    <row r="654">
      <c r="E654" s="12" t="n"/>
    </row>
    <row r="655">
      <c r="E655" s="12" t="n"/>
    </row>
    <row r="656">
      <c r="E656" s="12" t="n"/>
    </row>
    <row r="657">
      <c r="E657" s="12" t="n"/>
    </row>
    <row r="658">
      <c r="E658" s="12" t="n"/>
    </row>
    <row r="659">
      <c r="E659" s="12" t="n"/>
    </row>
    <row r="660">
      <c r="E660" s="12" t="n"/>
    </row>
    <row r="661">
      <c r="E661" s="12" t="n"/>
    </row>
    <row r="662">
      <c r="E662" s="12" t="n"/>
    </row>
    <row r="663">
      <c r="E663" s="12" t="n"/>
    </row>
    <row r="664">
      <c r="E664" s="12" t="n"/>
    </row>
    <row r="665">
      <c r="E665" s="12" t="n"/>
    </row>
    <row r="666">
      <c r="E666" s="12" t="n"/>
    </row>
    <row r="667">
      <c r="E667" s="12" t="n"/>
    </row>
    <row r="668">
      <c r="E668" s="12" t="n"/>
    </row>
    <row r="669">
      <c r="E669" s="12" t="n"/>
    </row>
    <row r="670">
      <c r="E670" s="12" t="n"/>
    </row>
    <row r="671">
      <c r="E671" s="12" t="n"/>
    </row>
    <row r="672">
      <c r="E672" s="12" t="n"/>
    </row>
    <row r="673">
      <c r="E673" s="12" t="n"/>
    </row>
    <row r="674">
      <c r="E674" s="12" t="n"/>
    </row>
    <row r="675">
      <c r="E675" s="12" t="n"/>
    </row>
    <row r="676">
      <c r="E676" s="12" t="n"/>
    </row>
    <row r="677">
      <c r="E677" s="12" t="n"/>
    </row>
    <row r="678">
      <c r="E678" s="12" t="n"/>
    </row>
    <row r="679">
      <c r="E679" s="12" t="n"/>
    </row>
    <row r="680">
      <c r="E680" s="12" t="n"/>
    </row>
    <row r="681">
      <c r="E681" s="12" t="n"/>
    </row>
    <row r="682">
      <c r="E682" s="12" t="n"/>
    </row>
    <row r="683">
      <c r="E683" s="12" t="n"/>
    </row>
    <row r="684">
      <c r="E684" s="12" t="n"/>
    </row>
    <row r="685">
      <c r="E685" s="12" t="n"/>
    </row>
    <row r="686">
      <c r="E686" s="12" t="n"/>
    </row>
    <row r="687">
      <c r="E687" s="12" t="n"/>
    </row>
    <row r="688">
      <c r="E688" s="12" t="n"/>
    </row>
    <row r="689">
      <c r="E689" s="12" t="n"/>
    </row>
    <row r="690">
      <c r="E690" s="12" t="n"/>
    </row>
    <row r="691">
      <c r="E691" s="12" t="n"/>
    </row>
    <row r="692">
      <c r="E692" s="12" t="n"/>
    </row>
    <row r="693">
      <c r="E693" s="12" t="n"/>
    </row>
    <row r="694">
      <c r="E694" s="12" t="n"/>
    </row>
    <row r="695">
      <c r="E695" s="12" t="n"/>
    </row>
    <row r="696">
      <c r="E696" s="12" t="n"/>
    </row>
    <row r="697">
      <c r="E697" s="12" t="n"/>
    </row>
    <row r="698">
      <c r="E698" s="12" t="n"/>
    </row>
    <row r="699">
      <c r="E699" s="12" t="n"/>
    </row>
    <row r="700">
      <c r="E700" s="12" t="n"/>
    </row>
    <row r="701">
      <c r="E701" s="12" t="n"/>
    </row>
    <row r="702">
      <c r="E702" s="12" t="n"/>
    </row>
    <row r="703">
      <c r="E703" s="12" t="n"/>
    </row>
    <row r="704">
      <c r="E704" s="12" t="n"/>
    </row>
    <row r="705">
      <c r="E705" s="12" t="n"/>
    </row>
    <row r="706">
      <c r="E706" s="12" t="n"/>
    </row>
    <row r="707">
      <c r="E707" s="12" t="n"/>
    </row>
    <row r="708">
      <c r="E708" s="12" t="n"/>
    </row>
    <row r="709">
      <c r="E709" s="12" t="n"/>
    </row>
    <row r="710">
      <c r="E710" s="12" t="n"/>
    </row>
    <row r="711">
      <c r="E711" s="12" t="n"/>
    </row>
    <row r="712">
      <c r="E712" s="12" t="n"/>
    </row>
    <row r="713">
      <c r="E713" s="12" t="n"/>
    </row>
    <row r="714">
      <c r="E714" s="12" t="n"/>
    </row>
    <row r="715">
      <c r="E715" s="12" t="n"/>
    </row>
    <row r="716">
      <c r="E716" s="12" t="n"/>
    </row>
    <row r="717">
      <c r="E717" s="12" t="n"/>
    </row>
    <row r="718">
      <c r="E718" s="12" t="n"/>
    </row>
    <row r="719">
      <c r="E719" s="12" t="n"/>
    </row>
    <row r="720">
      <c r="E720" s="12" t="n"/>
    </row>
    <row r="721">
      <c r="E721" s="12" t="n"/>
    </row>
    <row r="722">
      <c r="E722" s="12" t="n"/>
    </row>
    <row r="723">
      <c r="E723" s="12" t="n"/>
    </row>
    <row r="724">
      <c r="E724" s="12" t="n"/>
    </row>
    <row r="725">
      <c r="E725" s="12" t="n"/>
    </row>
    <row r="726">
      <c r="E726" s="12" t="n"/>
    </row>
    <row r="727">
      <c r="E727" s="12" t="n"/>
    </row>
    <row r="728">
      <c r="E728" s="12" t="n"/>
    </row>
    <row r="729">
      <c r="E729" s="12" t="n"/>
    </row>
    <row r="730">
      <c r="E730" s="12" t="n"/>
    </row>
    <row r="731">
      <c r="E731" s="12" t="n"/>
    </row>
    <row r="732">
      <c r="E732" s="12" t="n"/>
    </row>
    <row r="733">
      <c r="E733" s="12" t="n"/>
    </row>
    <row r="734">
      <c r="E734" s="12" t="n"/>
    </row>
    <row r="735">
      <c r="E735" s="12" t="n"/>
    </row>
    <row r="736">
      <c r="E736" s="12" t="n"/>
    </row>
    <row r="737">
      <c r="E737" s="12" t="n"/>
    </row>
    <row r="738">
      <c r="E738" s="12" t="n"/>
    </row>
    <row r="739">
      <c r="E739" s="12" t="n"/>
    </row>
    <row r="740">
      <c r="E740" s="12" t="n"/>
    </row>
    <row r="741">
      <c r="E741" s="12" t="n"/>
    </row>
    <row r="742">
      <c r="E742" s="12" t="n"/>
    </row>
    <row r="743">
      <c r="E743" s="12" t="n"/>
    </row>
    <row r="744">
      <c r="E744" s="12" t="n"/>
    </row>
    <row r="745">
      <c r="E745" s="12" t="n"/>
    </row>
    <row r="746">
      <c r="E746" s="12" t="n"/>
    </row>
    <row r="747">
      <c r="E747" s="12" t="n"/>
    </row>
    <row r="748">
      <c r="E748" s="12" t="n"/>
    </row>
    <row r="749">
      <c r="E749" s="12" t="n"/>
    </row>
    <row r="750">
      <c r="E750" s="12" t="n"/>
    </row>
    <row r="751">
      <c r="E751" s="12" t="n"/>
    </row>
    <row r="752">
      <c r="E752" s="12" t="n"/>
    </row>
    <row r="753">
      <c r="E753" s="12" t="n"/>
    </row>
    <row r="754">
      <c r="E754" s="12" t="n"/>
    </row>
    <row r="755">
      <c r="E755" s="12" t="n"/>
    </row>
    <row r="756">
      <c r="E756" s="12" t="n"/>
    </row>
    <row r="757">
      <c r="E757" s="12" t="n"/>
    </row>
    <row r="758">
      <c r="E758" s="12" t="n"/>
    </row>
    <row r="759">
      <c r="E759" s="12" t="n"/>
    </row>
    <row r="760">
      <c r="E760" s="12" t="n"/>
    </row>
    <row r="761">
      <c r="E761" s="12" t="n"/>
    </row>
    <row r="762">
      <c r="E762" s="12" t="n"/>
    </row>
    <row r="763">
      <c r="E763" s="12" t="n"/>
    </row>
    <row r="764">
      <c r="E764" s="12" t="n"/>
    </row>
    <row r="765">
      <c r="E765" s="12" t="n"/>
    </row>
    <row r="766">
      <c r="E766" s="12" t="n"/>
    </row>
    <row r="767">
      <c r="E767" s="12" t="n"/>
    </row>
    <row r="768">
      <c r="E768" s="12" t="n"/>
    </row>
    <row r="769">
      <c r="E769" s="12" t="n"/>
    </row>
    <row r="770">
      <c r="E770" s="12" t="n"/>
    </row>
    <row r="771">
      <c r="E771" s="12" t="n"/>
    </row>
    <row r="772">
      <c r="E772" s="12" t="n"/>
    </row>
    <row r="773">
      <c r="E773" s="12" t="n"/>
    </row>
    <row r="774">
      <c r="E774" s="12" t="n"/>
    </row>
    <row r="775">
      <c r="E775" s="12" t="n"/>
    </row>
    <row r="776">
      <c r="E776" s="12" t="n"/>
    </row>
    <row r="777">
      <c r="E777" s="12" t="n"/>
    </row>
    <row r="778">
      <c r="E778" s="12" t="n"/>
    </row>
    <row r="779">
      <c r="E779" s="12" t="n"/>
    </row>
    <row r="780">
      <c r="E780" s="12" t="n"/>
    </row>
    <row r="781">
      <c r="E781" s="12" t="n"/>
    </row>
    <row r="782">
      <c r="E782" s="12" t="n"/>
    </row>
    <row r="783">
      <c r="E783" s="12" t="n"/>
    </row>
    <row r="784">
      <c r="E784" s="12" t="n"/>
    </row>
    <row r="785">
      <c r="E785" s="12" t="n"/>
    </row>
    <row r="786">
      <c r="E786" s="12" t="n"/>
    </row>
    <row r="787">
      <c r="E787" s="12" t="n"/>
    </row>
    <row r="788">
      <c r="E788" s="12" t="n"/>
    </row>
    <row r="789">
      <c r="E789" s="12" t="n"/>
    </row>
    <row r="790">
      <c r="E790" s="12" t="n"/>
    </row>
    <row r="791">
      <c r="E791" s="12" t="n"/>
    </row>
    <row r="792">
      <c r="E792" s="12" t="n"/>
    </row>
    <row r="793">
      <c r="E793" s="12" t="n"/>
    </row>
    <row r="794">
      <c r="E794" s="12" t="n"/>
    </row>
    <row r="795">
      <c r="E795" s="12" t="n"/>
    </row>
    <row r="796">
      <c r="E796" s="12" t="n"/>
    </row>
    <row r="797">
      <c r="E797" s="12" t="n"/>
    </row>
    <row r="798">
      <c r="E798" s="12" t="n"/>
    </row>
    <row r="799">
      <c r="E799" s="12" t="n"/>
    </row>
    <row r="800">
      <c r="E800" s="12" t="n"/>
    </row>
    <row r="801">
      <c r="E801" s="12" t="n"/>
    </row>
    <row r="802">
      <c r="E802" s="12" t="n"/>
    </row>
    <row r="803">
      <c r="E803" s="12" t="n"/>
    </row>
    <row r="804">
      <c r="E804" s="12" t="n"/>
    </row>
    <row r="805">
      <c r="E805" s="12" t="n"/>
    </row>
    <row r="806">
      <c r="E806" s="12" t="n"/>
    </row>
    <row r="807">
      <c r="E807" s="12" t="n"/>
    </row>
    <row r="808">
      <c r="E808" s="12" t="n"/>
    </row>
    <row r="809">
      <c r="E809" s="12" t="n"/>
    </row>
    <row r="810">
      <c r="E810" s="12" t="n"/>
    </row>
    <row r="811">
      <c r="E811" s="12" t="n"/>
    </row>
    <row r="812">
      <c r="E812" s="12" t="n"/>
    </row>
    <row r="813">
      <c r="E813" s="12" t="n"/>
    </row>
    <row r="814">
      <c r="E814" s="12" t="n"/>
    </row>
    <row r="815">
      <c r="E815" s="12" t="n"/>
    </row>
    <row r="816">
      <c r="E816" s="12" t="n"/>
    </row>
    <row r="817">
      <c r="E817" s="12" t="n"/>
    </row>
    <row r="818">
      <c r="E818" s="12" t="n"/>
    </row>
    <row r="819">
      <c r="E819" s="12" t="n"/>
    </row>
    <row r="820">
      <c r="E820" s="12" t="n"/>
    </row>
    <row r="821">
      <c r="E821" s="12" t="n"/>
    </row>
    <row r="822">
      <c r="E822" s="12" t="n"/>
    </row>
    <row r="823">
      <c r="E823" s="12" t="n"/>
    </row>
    <row r="824">
      <c r="E824" s="12" t="n"/>
    </row>
    <row r="825">
      <c r="E825" s="12" t="n"/>
    </row>
    <row r="826">
      <c r="E826" s="12" t="n"/>
    </row>
    <row r="827">
      <c r="E827" s="12" t="n"/>
    </row>
    <row r="828">
      <c r="E828" s="12" t="n"/>
    </row>
    <row r="829">
      <c r="E829" s="12" t="n"/>
    </row>
    <row r="830">
      <c r="E830" s="12" t="n"/>
    </row>
    <row r="831">
      <c r="E831" s="12" t="n"/>
    </row>
    <row r="832">
      <c r="E832" s="12" t="n"/>
    </row>
    <row r="833">
      <c r="E833" s="12" t="n"/>
    </row>
    <row r="834">
      <c r="E834" s="12" t="n"/>
    </row>
    <row r="835">
      <c r="E835" s="12" t="n"/>
    </row>
    <row r="836">
      <c r="E836" s="12" t="n"/>
    </row>
    <row r="837">
      <c r="E837" s="12" t="n"/>
    </row>
    <row r="838">
      <c r="E838" s="12" t="n"/>
    </row>
    <row r="839">
      <c r="E839" s="12" t="n"/>
    </row>
    <row r="840">
      <c r="E840" s="12" t="n"/>
    </row>
    <row r="841">
      <c r="E841" s="12" t="n"/>
    </row>
    <row r="842">
      <c r="E842" s="12" t="n"/>
    </row>
    <row r="843">
      <c r="E843" s="12" t="n"/>
    </row>
    <row r="844">
      <c r="E844" s="12" t="n"/>
    </row>
    <row r="845">
      <c r="E845" s="12" t="n"/>
    </row>
    <row r="846">
      <c r="E846" s="12" t="n"/>
    </row>
    <row r="847">
      <c r="E847" s="12" t="n"/>
    </row>
    <row r="848">
      <c r="E848" s="12" t="n"/>
    </row>
    <row r="849">
      <c r="E849" s="12" t="n"/>
    </row>
    <row r="850">
      <c r="E850" s="12" t="n"/>
    </row>
    <row r="851">
      <c r="E851" s="12" t="n"/>
    </row>
    <row r="852">
      <c r="E852" s="12" t="n"/>
    </row>
    <row r="853">
      <c r="E853" s="12" t="n"/>
    </row>
    <row r="854">
      <c r="E854" s="12" t="n"/>
    </row>
    <row r="855">
      <c r="E855" s="12" t="n"/>
    </row>
    <row r="856">
      <c r="E856" s="12" t="n"/>
    </row>
    <row r="857">
      <c r="E857" s="12" t="n"/>
    </row>
    <row r="858">
      <c r="E858" s="12" t="n"/>
    </row>
    <row r="859">
      <c r="E859" s="12" t="n"/>
    </row>
    <row r="860">
      <c r="E860" s="12" t="n"/>
    </row>
    <row r="861">
      <c r="E861" s="12" t="n"/>
    </row>
    <row r="862">
      <c r="E862" s="12" t="n"/>
    </row>
    <row r="863">
      <c r="E863" s="12" t="n"/>
    </row>
    <row r="864">
      <c r="E864" s="12" t="n"/>
    </row>
    <row r="865">
      <c r="E865" s="12" t="n"/>
    </row>
    <row r="866">
      <c r="E866" s="12" t="n"/>
    </row>
    <row r="867">
      <c r="E867" s="12" t="n"/>
    </row>
    <row r="868">
      <c r="E868" s="12" t="n"/>
    </row>
    <row r="869">
      <c r="E869" s="12" t="n"/>
    </row>
    <row r="870">
      <c r="E870" s="12" t="n"/>
    </row>
    <row r="871">
      <c r="E871" s="12" t="n"/>
    </row>
    <row r="872">
      <c r="E872" s="12" t="n"/>
    </row>
    <row r="873">
      <c r="E873" s="12" t="n"/>
    </row>
    <row r="874">
      <c r="E874" s="12" t="n"/>
    </row>
    <row r="875">
      <c r="E875" s="12" t="n"/>
    </row>
    <row r="876">
      <c r="E876" s="12" t="n"/>
    </row>
    <row r="877">
      <c r="E877" s="12" t="n"/>
    </row>
    <row r="878">
      <c r="E878" s="12" t="n"/>
    </row>
    <row r="879">
      <c r="E879" s="12" t="n"/>
    </row>
    <row r="880">
      <c r="E880" s="12" t="n"/>
    </row>
    <row r="881">
      <c r="E881" s="12" t="n"/>
    </row>
    <row r="882">
      <c r="E882" s="12" t="n"/>
    </row>
    <row r="883">
      <c r="E883" s="12" t="n"/>
    </row>
    <row r="884">
      <c r="E884" s="12" t="n"/>
    </row>
    <row r="885">
      <c r="E885" s="12" t="n"/>
    </row>
    <row r="886">
      <c r="E886" s="12" t="n"/>
    </row>
    <row r="887">
      <c r="E887" s="12" t="n"/>
    </row>
    <row r="888">
      <c r="E888" s="12" t="n"/>
    </row>
    <row r="889">
      <c r="E889" s="12" t="n"/>
    </row>
    <row r="890">
      <c r="E890" s="12" t="n"/>
    </row>
    <row r="891">
      <c r="E891" s="12" t="n"/>
    </row>
    <row r="892">
      <c r="E892" s="12" t="n"/>
    </row>
    <row r="893">
      <c r="E893" s="12" t="n"/>
    </row>
    <row r="894">
      <c r="E894" s="12" t="n"/>
    </row>
    <row r="895">
      <c r="E895" s="12" t="n"/>
    </row>
    <row r="896">
      <c r="E896" s="12" t="n"/>
    </row>
    <row r="897">
      <c r="E897" s="12" t="n"/>
    </row>
    <row r="898">
      <c r="E898" s="12" t="n"/>
    </row>
    <row r="899">
      <c r="E899" s="12" t="n"/>
    </row>
    <row r="900">
      <c r="E900" s="12" t="n"/>
    </row>
    <row r="901">
      <c r="E901" s="12" t="n"/>
    </row>
    <row r="902">
      <c r="E902" s="12" t="n"/>
    </row>
    <row r="903">
      <c r="E903" s="12" t="n"/>
    </row>
    <row r="904">
      <c r="E904" s="12" t="n"/>
    </row>
    <row r="905">
      <c r="E905" s="12" t="n"/>
    </row>
    <row r="906">
      <c r="E906" s="12" t="n"/>
    </row>
    <row r="907">
      <c r="E907" s="12" t="n"/>
    </row>
    <row r="908">
      <c r="E908" s="12" t="n"/>
    </row>
    <row r="909">
      <c r="E909" s="12" t="n"/>
    </row>
    <row r="910">
      <c r="E910" s="12" t="n"/>
    </row>
    <row r="911">
      <c r="E911" s="12" t="n"/>
    </row>
    <row r="912">
      <c r="E912" s="12" t="n"/>
    </row>
    <row r="913">
      <c r="E913" s="12" t="n"/>
    </row>
    <row r="914">
      <c r="E914" s="12" t="n"/>
    </row>
    <row r="915">
      <c r="E915" s="12" t="n"/>
    </row>
    <row r="916">
      <c r="E916" s="12" t="n"/>
    </row>
    <row r="917">
      <c r="E917" s="12" t="n"/>
    </row>
    <row r="918">
      <c r="E918" s="12" t="n"/>
    </row>
    <row r="919">
      <c r="E919" s="12" t="n"/>
    </row>
    <row r="920">
      <c r="E920" s="12" t="n"/>
    </row>
    <row r="921">
      <c r="E921" s="12" t="n"/>
    </row>
    <row r="922">
      <c r="E922" s="12" t="n"/>
    </row>
    <row r="923">
      <c r="E923" s="12" t="n"/>
    </row>
    <row r="924">
      <c r="E924" s="12" t="n"/>
    </row>
    <row r="925">
      <c r="E925" s="12" t="n"/>
    </row>
    <row r="926">
      <c r="E926" s="12" t="n"/>
    </row>
    <row r="927">
      <c r="E927" s="12" t="n"/>
    </row>
    <row r="928">
      <c r="E928" s="12" t="n"/>
    </row>
    <row r="929">
      <c r="E929" s="12" t="n"/>
    </row>
    <row r="930">
      <c r="E930" s="12" t="n"/>
    </row>
    <row r="931">
      <c r="E931" s="12" t="n"/>
    </row>
    <row r="932">
      <c r="E932" s="12" t="n"/>
    </row>
    <row r="933">
      <c r="E933" s="12" t="n"/>
    </row>
    <row r="934">
      <c r="E934" s="12" t="n"/>
    </row>
    <row r="935">
      <c r="E935" s="12" t="n"/>
    </row>
    <row r="936">
      <c r="E936" s="12" t="n"/>
    </row>
    <row r="937">
      <c r="E937" s="12" t="n"/>
    </row>
    <row r="938">
      <c r="E938" s="12" t="n"/>
    </row>
    <row r="939">
      <c r="E939" s="12" t="n"/>
    </row>
    <row r="940">
      <c r="E940" s="12" t="n"/>
    </row>
    <row r="941">
      <c r="E941" s="12" t="n"/>
    </row>
    <row r="942">
      <c r="E942" s="12" t="n"/>
    </row>
    <row r="943">
      <c r="E943" s="12" t="n"/>
    </row>
    <row r="944">
      <c r="E944" s="12" t="n"/>
    </row>
    <row r="945">
      <c r="E945" s="12" t="n"/>
    </row>
    <row r="946">
      <c r="E946" s="12" t="n"/>
    </row>
    <row r="947">
      <c r="E947" s="12" t="n"/>
    </row>
    <row r="948">
      <c r="E948" s="12" t="n"/>
    </row>
    <row r="949">
      <c r="E949" s="12" t="n"/>
    </row>
    <row r="950">
      <c r="E950" s="12" t="n"/>
    </row>
    <row r="951">
      <c r="E951" s="12" t="n"/>
    </row>
    <row r="952">
      <c r="E952" s="12" t="n"/>
    </row>
    <row r="953">
      <c r="E953" s="12" t="n"/>
    </row>
    <row r="954">
      <c r="E954" s="12" t="n"/>
    </row>
    <row r="955">
      <c r="E955" s="12" t="n"/>
    </row>
    <row r="956">
      <c r="E956" s="12" t="n"/>
    </row>
    <row r="957">
      <c r="E957" s="12" t="n"/>
    </row>
    <row r="958">
      <c r="E958" s="12" t="n"/>
    </row>
    <row r="959">
      <c r="E959" s="12" t="n"/>
    </row>
    <row r="960">
      <c r="E960" s="12" t="n"/>
    </row>
    <row r="961">
      <c r="E961" s="12" t="n"/>
    </row>
    <row r="962">
      <c r="E962" s="12" t="n"/>
    </row>
    <row r="963">
      <c r="E963" s="12" t="n"/>
    </row>
    <row r="964">
      <c r="E964" s="12" t="n"/>
    </row>
    <row r="965">
      <c r="E965" s="12" t="n"/>
    </row>
    <row r="966">
      <c r="E966" s="12" t="n"/>
    </row>
    <row r="967">
      <c r="E967" s="12" t="n"/>
    </row>
    <row r="968">
      <c r="E968" s="12" t="n"/>
    </row>
    <row r="969">
      <c r="E969" s="12" t="n"/>
    </row>
    <row r="970">
      <c r="E970" s="12" t="n"/>
    </row>
    <row r="971">
      <c r="E971" s="12" t="n"/>
    </row>
    <row r="972">
      <c r="E972" s="12" t="n"/>
    </row>
    <row r="973">
      <c r="E973" s="12" t="n"/>
    </row>
    <row r="974">
      <c r="E974" s="12" t="n"/>
    </row>
    <row r="975">
      <c r="E975" s="12" t="n"/>
    </row>
    <row r="976">
      <c r="E976" s="12" t="n"/>
    </row>
    <row r="977">
      <c r="E977" s="12" t="n"/>
    </row>
    <row r="978">
      <c r="E978" s="12" t="n"/>
    </row>
    <row r="979">
      <c r="E979" s="12" t="n"/>
    </row>
    <row r="980">
      <c r="E980" s="12" t="n"/>
    </row>
    <row r="981">
      <c r="E981" s="12" t="n"/>
    </row>
    <row r="982">
      <c r="E982" s="12" t="n"/>
    </row>
    <row r="983">
      <c r="E983" s="12" t="n"/>
    </row>
    <row r="984">
      <c r="E984" s="12" t="n"/>
    </row>
    <row r="985">
      <c r="E985" s="12" t="n"/>
    </row>
    <row r="986">
      <c r="E986" s="12" t="n"/>
    </row>
    <row r="987">
      <c r="E987" s="12" t="n"/>
    </row>
    <row r="988">
      <c r="E988" s="12" t="n"/>
    </row>
    <row r="989">
      <c r="E989" s="12" t="n"/>
    </row>
    <row r="990">
      <c r="E990" s="12" t="n"/>
    </row>
    <row r="991">
      <c r="E991" s="12" t="n"/>
    </row>
    <row r="992">
      <c r="E992" s="12" t="n"/>
    </row>
    <row r="993">
      <c r="E993" s="12" t="n"/>
    </row>
    <row r="994">
      <c r="E994" s="12" t="n"/>
    </row>
    <row r="995">
      <c r="E995" s="12" t="n"/>
    </row>
    <row r="996">
      <c r="E996" s="12" t="n"/>
    </row>
    <row r="997">
      <c r="E997" s="12" t="n"/>
    </row>
    <row r="998">
      <c r="E998" s="12" t="n"/>
    </row>
    <row r="999">
      <c r="E999" s="12" t="n"/>
    </row>
    <row r="1000">
      <c r="E1000" s="12" t="n"/>
    </row>
    <row r="1001">
      <c r="E1001" s="12" t="n"/>
    </row>
    <row r="1002">
      <c r="E1002" s="12" t="n"/>
    </row>
    <row r="1003">
      <c r="E1003" s="12" t="n"/>
    </row>
    <row r="1004">
      <c r="E1004" s="12" t="n"/>
    </row>
    <row r="1005">
      <c r="E1005" s="12" t="n"/>
    </row>
    <row r="1006">
      <c r="E1006" s="12" t="n"/>
    </row>
    <row r="1007">
      <c r="E1007" s="12" t="n"/>
    </row>
    <row r="1008">
      <c r="E1008" s="12" t="n"/>
    </row>
    <row r="1009">
      <c r="E1009" s="12" t="n"/>
    </row>
    <row r="1010">
      <c r="E1010" s="12" t="n"/>
    </row>
    <row r="1011">
      <c r="E1011" s="12" t="n"/>
    </row>
    <row r="1012">
      <c r="E1012" s="12" t="n"/>
    </row>
    <row r="1013">
      <c r="E1013" s="12" t="n"/>
    </row>
    <row r="1014">
      <c r="E1014" s="12" t="n"/>
    </row>
    <row r="1015">
      <c r="E1015" s="12" t="n"/>
    </row>
    <row r="1016">
      <c r="E1016" s="12" t="n"/>
    </row>
    <row r="1017">
      <c r="E1017" s="12" t="n"/>
    </row>
    <row r="1018">
      <c r="E1018" s="12" t="n"/>
    </row>
    <row r="1019">
      <c r="E1019" s="12" t="n"/>
    </row>
    <row r="1020">
      <c r="E1020" s="12" t="n"/>
    </row>
    <row r="1021">
      <c r="E1021" s="12" t="n"/>
    </row>
    <row r="1022">
      <c r="E1022" s="12" t="n"/>
    </row>
    <row r="1023">
      <c r="E1023" s="12" t="n"/>
    </row>
    <row r="1024">
      <c r="E1024" s="12" t="n"/>
    </row>
    <row r="1025">
      <c r="E1025" s="12" t="n"/>
    </row>
    <row r="1026">
      <c r="E1026" s="12" t="n"/>
    </row>
    <row r="1027">
      <c r="E1027" s="12" t="n"/>
    </row>
    <row r="1028">
      <c r="E1028" s="12" t="n"/>
    </row>
    <row r="1029">
      <c r="E1029" s="12" t="n"/>
    </row>
    <row r="1030">
      <c r="E1030" s="12" t="n"/>
    </row>
    <row r="1031">
      <c r="E1031" s="12" t="n"/>
    </row>
    <row r="1032">
      <c r="E1032" s="12" t="n"/>
    </row>
    <row r="1033">
      <c r="E1033" s="12" t="n"/>
    </row>
    <row r="1034">
      <c r="E1034" s="12" t="n"/>
    </row>
    <row r="1035">
      <c r="E1035" s="12" t="n"/>
    </row>
    <row r="1036">
      <c r="E1036" s="12" t="n"/>
    </row>
    <row r="1037">
      <c r="E1037" s="12" t="n"/>
    </row>
    <row r="1038">
      <c r="E1038" s="12" t="n"/>
    </row>
    <row r="1039">
      <c r="E1039" s="12" t="n"/>
    </row>
    <row r="1040">
      <c r="E1040" s="12" t="n"/>
    </row>
    <row r="1041">
      <c r="E1041" s="12" t="n"/>
    </row>
    <row r="1042">
      <c r="E1042" s="12" t="n"/>
    </row>
    <row r="1043">
      <c r="E1043" s="12" t="n"/>
    </row>
    <row r="1044">
      <c r="E1044" s="12" t="n"/>
    </row>
    <row r="1045">
      <c r="E1045" s="12" t="n"/>
    </row>
    <row r="1046">
      <c r="E1046" s="12" t="n"/>
    </row>
    <row r="1047">
      <c r="E1047" s="12" t="n"/>
    </row>
    <row r="1048">
      <c r="E1048" s="12" t="n"/>
    </row>
    <row r="1049">
      <c r="E1049" s="12" t="n"/>
    </row>
    <row r="1050">
      <c r="E1050" s="12" t="n"/>
    </row>
    <row r="1051">
      <c r="E1051" s="12" t="n"/>
    </row>
    <row r="1052">
      <c r="E1052" s="12" t="n"/>
    </row>
    <row r="1053">
      <c r="E1053" s="12" t="n"/>
    </row>
    <row r="1054">
      <c r="E1054" s="12" t="n"/>
    </row>
    <row r="1055">
      <c r="E1055" s="12" t="n"/>
    </row>
    <row r="1056">
      <c r="E1056" s="12" t="n"/>
    </row>
    <row r="1057">
      <c r="E1057" s="12" t="n"/>
    </row>
    <row r="1058">
      <c r="E1058" s="12" t="n"/>
    </row>
    <row r="1059">
      <c r="E1059" s="12" t="n"/>
    </row>
    <row r="1060">
      <c r="E1060" s="12" t="n"/>
    </row>
    <row r="1061">
      <c r="E1061" s="12" t="n"/>
    </row>
    <row r="1062">
      <c r="E1062" s="12" t="n"/>
    </row>
    <row r="1063">
      <c r="E1063" s="12" t="n"/>
    </row>
    <row r="1064">
      <c r="E1064" s="12" t="n"/>
    </row>
    <row r="1065">
      <c r="E1065" s="12" t="n"/>
    </row>
    <row r="1066">
      <c r="E1066" s="12" t="n"/>
    </row>
    <row r="1067">
      <c r="E1067" s="12" t="n"/>
    </row>
    <row r="1068">
      <c r="E1068" s="12" t="n"/>
    </row>
    <row r="1069">
      <c r="E1069" s="12" t="n"/>
    </row>
    <row r="1070">
      <c r="E1070" s="12" t="n"/>
    </row>
    <row r="1071">
      <c r="E1071" s="12" t="n"/>
    </row>
    <row r="1072">
      <c r="E1072" s="12" t="n"/>
    </row>
    <row r="1073">
      <c r="E1073" s="12" t="n"/>
    </row>
    <row r="1074">
      <c r="E1074" s="12" t="n"/>
    </row>
    <row r="1075">
      <c r="E1075" s="12" t="n"/>
    </row>
    <row r="1076">
      <c r="E1076" s="12" t="n"/>
    </row>
    <row r="1077">
      <c r="E1077" s="12" t="n"/>
    </row>
    <row r="1078">
      <c r="E1078" s="12" t="n"/>
    </row>
    <row r="1079">
      <c r="E1079" s="12" t="n"/>
    </row>
    <row r="1080">
      <c r="E1080" s="12" t="n"/>
    </row>
    <row r="1081">
      <c r="E1081" s="12" t="n"/>
    </row>
    <row r="1082">
      <c r="E1082" s="12" t="n"/>
    </row>
    <row r="1083">
      <c r="E1083" s="12" t="n"/>
    </row>
    <row r="1084">
      <c r="E1084" s="12" t="n"/>
    </row>
    <row r="1085">
      <c r="E1085" s="12" t="n"/>
    </row>
    <row r="1086">
      <c r="E1086" s="12" t="n"/>
    </row>
    <row r="1087">
      <c r="E1087" s="12" t="n"/>
    </row>
    <row r="1088">
      <c r="E1088" s="12" t="n"/>
    </row>
    <row r="1089">
      <c r="E1089" s="12" t="n"/>
    </row>
    <row r="1090">
      <c r="E1090" s="12" t="n"/>
    </row>
    <row r="1091">
      <c r="E1091" s="12" t="n"/>
    </row>
    <row r="1092">
      <c r="E1092" s="12" t="n"/>
    </row>
    <row r="1093">
      <c r="E1093" s="12" t="n"/>
    </row>
    <row r="1094">
      <c r="E1094" s="12" t="n"/>
    </row>
    <row r="1095">
      <c r="E1095" s="12" t="n"/>
    </row>
    <row r="1096">
      <c r="E1096" s="12" t="n"/>
    </row>
    <row r="1097">
      <c r="E1097" s="12" t="n"/>
    </row>
    <row r="1098">
      <c r="E1098" s="12" t="n"/>
    </row>
    <row r="1099">
      <c r="E1099" s="12" t="n"/>
    </row>
    <row r="1100">
      <c r="E1100" s="12" t="n"/>
    </row>
    <row r="1101">
      <c r="E1101" s="12" t="n"/>
    </row>
    <row r="1102">
      <c r="E1102" s="12" t="n"/>
    </row>
    <row r="1103">
      <c r="E1103" s="12" t="n"/>
    </row>
    <row r="1104">
      <c r="E1104" s="12" t="n"/>
    </row>
    <row r="1105">
      <c r="E1105" s="12" t="n"/>
    </row>
    <row r="1106">
      <c r="E1106" s="12" t="n"/>
    </row>
    <row r="1107">
      <c r="E1107" s="12" t="n"/>
    </row>
    <row r="1108">
      <c r="E1108" s="12" t="n"/>
    </row>
    <row r="1109">
      <c r="E1109" s="12" t="n"/>
    </row>
    <row r="1110">
      <c r="E1110" s="12" t="n"/>
    </row>
    <row r="1111">
      <c r="E1111" s="12" t="n"/>
    </row>
    <row r="1112">
      <c r="E1112" s="12" t="n"/>
    </row>
    <row r="1113">
      <c r="E1113" s="12" t="n"/>
    </row>
    <row r="1114">
      <c r="E1114" s="12" t="n"/>
    </row>
    <row r="1115">
      <c r="E1115" s="12" t="n"/>
    </row>
    <row r="1116">
      <c r="E1116" s="12" t="n"/>
    </row>
    <row r="1117">
      <c r="E1117" s="12" t="n"/>
    </row>
    <row r="1118">
      <c r="E1118" s="12" t="n"/>
    </row>
    <row r="1119">
      <c r="E1119" s="12" t="n"/>
    </row>
    <row r="1120">
      <c r="E1120" s="12" t="n"/>
    </row>
    <row r="1121">
      <c r="E1121" s="12" t="n"/>
    </row>
    <row r="1122">
      <c r="E1122" s="12" t="n"/>
    </row>
    <row r="1123">
      <c r="E1123" s="12" t="n"/>
    </row>
    <row r="1124">
      <c r="E1124" s="12" t="n"/>
    </row>
    <row r="1125">
      <c r="E1125" s="12" t="n"/>
    </row>
    <row r="1126">
      <c r="E1126" s="12" t="n"/>
    </row>
    <row r="1127">
      <c r="E1127" s="12" t="n"/>
    </row>
    <row r="1128">
      <c r="E1128" s="12" t="n"/>
    </row>
    <row r="1129">
      <c r="E1129" s="12" t="n"/>
    </row>
    <row r="1130">
      <c r="E1130" s="12" t="n"/>
    </row>
    <row r="1131">
      <c r="E1131" s="12" t="n"/>
    </row>
    <row r="1132">
      <c r="E1132" s="12" t="n"/>
    </row>
    <row r="1133">
      <c r="E1133" s="12" t="n"/>
    </row>
    <row r="1134">
      <c r="E1134" s="12" t="n"/>
    </row>
    <row r="1135">
      <c r="E1135" s="12" t="n"/>
    </row>
    <row r="1136">
      <c r="E1136" s="12" t="n"/>
    </row>
    <row r="1137">
      <c r="E1137" s="12" t="n"/>
    </row>
    <row r="1138">
      <c r="E1138" s="12" t="n"/>
    </row>
    <row r="1139">
      <c r="E1139" s="12" t="n"/>
    </row>
    <row r="1140">
      <c r="E1140" s="12" t="n"/>
    </row>
    <row r="1141">
      <c r="E1141" s="12" t="n"/>
    </row>
    <row r="1142">
      <c r="E1142" s="12" t="n"/>
    </row>
    <row r="1143">
      <c r="E1143" s="12" t="n"/>
    </row>
    <row r="1144">
      <c r="E1144" s="12" t="n"/>
    </row>
    <row r="1145">
      <c r="E1145" s="12" t="n"/>
    </row>
    <row r="1146">
      <c r="E1146" s="12" t="n"/>
    </row>
    <row r="1147">
      <c r="E1147" s="12" t="n"/>
    </row>
    <row r="1148">
      <c r="E1148" s="12" t="n"/>
    </row>
    <row r="1149">
      <c r="E1149" s="12" t="n"/>
    </row>
    <row r="1150">
      <c r="E1150" s="12" t="n"/>
    </row>
    <row r="1151">
      <c r="E1151" s="12" t="n"/>
    </row>
    <row r="1152">
      <c r="E1152" s="12" t="n"/>
    </row>
    <row r="1153">
      <c r="E1153" s="12" t="n"/>
    </row>
    <row r="1154">
      <c r="E1154" s="12" t="n"/>
    </row>
    <row r="1155">
      <c r="E1155" s="12" t="n"/>
    </row>
    <row r="1156">
      <c r="E1156" s="12" t="n"/>
    </row>
    <row r="1157">
      <c r="E1157" s="12" t="n"/>
    </row>
    <row r="1158">
      <c r="E1158" s="12" t="n"/>
    </row>
    <row r="1159">
      <c r="E1159" s="12" t="n"/>
    </row>
    <row r="1160">
      <c r="E1160" s="12" t="n"/>
    </row>
    <row r="1161">
      <c r="E1161" s="12" t="n"/>
    </row>
    <row r="1162">
      <c r="E1162" s="12" t="n"/>
    </row>
    <row r="1163">
      <c r="E1163" s="12" t="n"/>
    </row>
    <row r="1164">
      <c r="E1164" s="12" t="n"/>
    </row>
    <row r="1165">
      <c r="E1165" s="12" t="n"/>
    </row>
    <row r="1166">
      <c r="E1166" s="12" t="n"/>
    </row>
    <row r="1167">
      <c r="E1167" s="12" t="n"/>
    </row>
    <row r="1168">
      <c r="E1168" s="12" t="n"/>
    </row>
    <row r="1169">
      <c r="E1169" s="12" t="n"/>
    </row>
    <row r="1170">
      <c r="E1170" s="12" t="n"/>
    </row>
    <row r="1171">
      <c r="E1171" s="12" t="n"/>
    </row>
    <row r="1172">
      <c r="E1172" s="12" t="n"/>
    </row>
    <row r="1173">
      <c r="E1173" s="12" t="n"/>
    </row>
    <row r="1174">
      <c r="E1174" s="12" t="n"/>
    </row>
    <row r="1175">
      <c r="E1175" s="12" t="n"/>
    </row>
    <row r="1176">
      <c r="E1176" s="12" t="n"/>
    </row>
    <row r="1177">
      <c r="E1177" s="12" t="n"/>
    </row>
    <row r="1178">
      <c r="E1178" s="12" t="n"/>
    </row>
    <row r="1179">
      <c r="E1179" s="12" t="n"/>
    </row>
    <row r="1180">
      <c r="E1180" s="12" t="n"/>
    </row>
    <row r="1181">
      <c r="E1181" s="12" t="n"/>
    </row>
    <row r="1182">
      <c r="E1182" s="12" t="n"/>
    </row>
    <row r="1183">
      <c r="E1183" s="12" t="n"/>
    </row>
    <row r="1184">
      <c r="E1184" s="12" t="n"/>
    </row>
    <row r="1185">
      <c r="E1185" s="12" t="n"/>
    </row>
    <row r="1186">
      <c r="E1186" s="12" t="n"/>
    </row>
    <row r="1187">
      <c r="E1187" s="12" t="n"/>
    </row>
    <row r="1188">
      <c r="E1188" s="12" t="n"/>
    </row>
    <row r="1189">
      <c r="E1189" s="12" t="n"/>
    </row>
    <row r="1190">
      <c r="E1190" s="12" t="n"/>
    </row>
    <row r="1191">
      <c r="E1191" s="12" t="n"/>
    </row>
    <row r="1192">
      <c r="E1192" s="12" t="n"/>
    </row>
    <row r="1193">
      <c r="E1193" s="12" t="n"/>
    </row>
    <row r="1194">
      <c r="E1194" s="12" t="n"/>
    </row>
    <row r="1195">
      <c r="E1195" s="12" t="n"/>
    </row>
    <row r="1196">
      <c r="E1196" s="12" t="n"/>
    </row>
    <row r="1197">
      <c r="E1197" s="12" t="n"/>
    </row>
    <row r="1198">
      <c r="E1198" s="12" t="n"/>
    </row>
    <row r="1199">
      <c r="E1199" s="12" t="n"/>
    </row>
    <row r="1200">
      <c r="E1200" s="12" t="n"/>
    </row>
    <row r="1201">
      <c r="E1201" s="12" t="n"/>
    </row>
    <row r="1202">
      <c r="E1202" s="12" t="n"/>
    </row>
    <row r="1203">
      <c r="E1203" s="12" t="n"/>
    </row>
    <row r="1204">
      <c r="E1204" s="12" t="n"/>
    </row>
    <row r="1205">
      <c r="E1205" s="12" t="n"/>
    </row>
    <row r="1206">
      <c r="E1206" s="12" t="n"/>
    </row>
    <row r="1207">
      <c r="E1207" s="12" t="n"/>
    </row>
    <row r="1208">
      <c r="E1208" s="12" t="n"/>
    </row>
    <row r="1209">
      <c r="E1209" s="12" t="n"/>
    </row>
    <row r="1210">
      <c r="E1210" s="12" t="n"/>
    </row>
    <row r="1211">
      <c r="E1211" s="12" t="n"/>
    </row>
    <row r="1212">
      <c r="E1212" s="12" t="n"/>
    </row>
    <row r="1213">
      <c r="E1213" s="12" t="n"/>
    </row>
    <row r="1214">
      <c r="E1214" s="12" t="n"/>
    </row>
    <row r="1215">
      <c r="E1215" s="12" t="n"/>
    </row>
    <row r="1216">
      <c r="E1216" s="12" t="n"/>
    </row>
    <row r="1217">
      <c r="E1217" s="12" t="n"/>
    </row>
    <row r="1218">
      <c r="E1218" s="12" t="n"/>
    </row>
    <row r="1219">
      <c r="E1219" s="12" t="n"/>
    </row>
    <row r="1220">
      <c r="E1220" s="12" t="n"/>
    </row>
    <row r="1221">
      <c r="E1221" s="12" t="n"/>
    </row>
    <row r="1222">
      <c r="E1222" s="12" t="n"/>
    </row>
    <row r="1223">
      <c r="E1223" s="12" t="n"/>
    </row>
    <row r="1224">
      <c r="E1224" s="12" t="n"/>
    </row>
    <row r="1225">
      <c r="E1225" s="12" t="n"/>
    </row>
    <row r="1226">
      <c r="E1226" s="12" t="n"/>
    </row>
    <row r="1227">
      <c r="E1227" s="12" t="n"/>
    </row>
    <row r="1228">
      <c r="E1228" s="12" t="n"/>
    </row>
    <row r="1229">
      <c r="E1229" s="12" t="n"/>
    </row>
    <row r="1230">
      <c r="E1230" s="12" t="n"/>
    </row>
    <row r="1231">
      <c r="E1231" s="12" t="n"/>
    </row>
    <row r="1232">
      <c r="E1232" s="12" t="n"/>
    </row>
    <row r="1233">
      <c r="E1233" s="12" t="n"/>
    </row>
    <row r="1234">
      <c r="E1234" s="12" t="n"/>
    </row>
    <row r="1235">
      <c r="E1235" s="12" t="n"/>
    </row>
    <row r="1236">
      <c r="E1236" s="12" t="n"/>
    </row>
    <row r="1237">
      <c r="E1237" s="12" t="n"/>
    </row>
    <row r="1238">
      <c r="E1238" s="12" t="n"/>
    </row>
    <row r="1239">
      <c r="E1239" s="12" t="n"/>
    </row>
    <row r="1240">
      <c r="E1240" s="12" t="n"/>
    </row>
    <row r="1241">
      <c r="E1241" s="12" t="n"/>
    </row>
    <row r="1242">
      <c r="E1242" s="12" t="n"/>
    </row>
    <row r="1243">
      <c r="E1243" s="12" t="n"/>
    </row>
    <row r="1244">
      <c r="E1244" s="12" t="n"/>
    </row>
    <row r="1245">
      <c r="E1245" s="12" t="n"/>
    </row>
    <row r="1246">
      <c r="E1246" s="12" t="n"/>
    </row>
    <row r="1247">
      <c r="E1247" s="12" t="n"/>
    </row>
    <row r="1248">
      <c r="E1248" s="12" t="n"/>
    </row>
    <row r="1249">
      <c r="E1249" s="12" t="n"/>
    </row>
    <row r="1250">
      <c r="E1250" s="12" t="n"/>
    </row>
    <row r="1251">
      <c r="E1251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2026-08-27T09:39:51Z</dcterms:created>
  <dcterms:modified xmlns:dcterms="http://purl.org/dc/terms/" xmlns:xsi="http://www.w3.org/2001/XMLSchema-instance" xsi:type="dcterms:W3CDTF">2026-08-27T09:39:51Z</dcterms:modified>
</cp:coreProperties>
</file>